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unoff checks" sheetId="2" r:id="rId2"/>
    <sheet name="Storage check" sheetId="3" r:id="rId3"/>
    <sheet name="Implicit step" sheetId="4" r:id="rId4"/>
    <sheet name="Scenarios" sheetId="5" r:id="rId5"/>
    <sheet name="Design selection" sheetId="6" r:id="rId6"/>
    <sheet name="Sensitivity" sheetId="7" r:id="rId7"/>
    <sheet name="Convergence" sheetId="8" r:id="rId8"/>
    <sheet name="Sources" sheetId="9" r:id="rId9"/>
  </sheets>
  <definedNames>
    <definedName name="_xlnm._FilterDatabase" localSheetId="7" hidden="1">Convergence!$A$4:$M$868</definedName>
    <definedName name="_xlnm._FilterDatabase" localSheetId="5" hidden="1">'Design selection'!$A$4:$I$28</definedName>
    <definedName name="_xlnm._FilterDatabase" localSheetId="4" hidden="1">Scenarios!$A$4:$AM$220</definedName>
    <definedName name="_xlnm._FilterDatabase" localSheetId="6" hidden="1">Sensitivity!$A$4:$AP$31</definedName>
    <definedName name="_xlnm._FilterDatabase" localSheetId="8" hidden="1">Sources!$A$4:$E$10</definedName>
  </definedNames>
  <calcPr calcId="124519" fullCalcOnLoad="1"/>
</workbook>
</file>

<file path=xl/sharedStrings.xml><?xml version="1.0" encoding="utf-8"?>
<sst xmlns="http://schemas.openxmlformats.org/spreadsheetml/2006/main" count="2736" uniqueCount="207">
  <si>
    <t>Stormwater detention | calculation workbook</t>
  </si>
  <si>
    <t>Green cells contain independent formulas. Scenario tables are saved Python results; changing this workbook does not rerun the grid.</t>
  </si>
  <si>
    <t>Parking area</t>
  </si>
  <si>
    <t>m²</t>
  </si>
  <si>
    <t>Basin footprint</t>
  </si>
  <si>
    <t>Curve number</t>
  </si>
  <si>
    <t>assumed</t>
  </si>
  <si>
    <t>Initial abstraction / S</t>
  </si>
  <si>
    <t>ratio</t>
  </si>
  <si>
    <t>Lag</t>
  </si>
  <si>
    <t>min</t>
  </si>
  <si>
    <t>Discharge coefficient</t>
  </si>
  <si>
    <t>Gravity</t>
  </si>
  <si>
    <t>m/s²</t>
  </si>
  <si>
    <t>Selected depth</t>
  </si>
  <si>
    <t>m; example if infeasible</t>
  </si>
  <si>
    <t>Outlet side</t>
  </si>
  <si>
    <t>m</t>
  </si>
  <si>
    <t>Final simulation step</t>
  </si>
  <si>
    <t>s</t>
  </si>
  <si>
    <t>Storage capacity</t>
  </si>
  <si>
    <t>m³</t>
  </si>
  <si>
    <t>Design rainfall</t>
  </si>
  <si>
    <t>mm</t>
  </si>
  <si>
    <t>Absolute check tolerance</t>
  </si>
  <si>
    <t>Site area is 4,200 m² in every default case. Direct footprint rainfall joins the baseline discharge or basin storage. Zero basin infiltration; detention changes timing, not total event runoff.</t>
  </si>
  <si>
    <t>Independent CN volume calculation</t>
  </si>
  <si>
    <t>These cells calculate retention, initial abstraction, excess depth, and runoff volume directly from Excel formulas. Column H is only the comparison reference.</t>
  </si>
  <si>
    <t>Rain (mm)</t>
  </si>
  <si>
    <t>S (mm)</t>
  </si>
  <si>
    <t>Ia (mm)</t>
  </si>
  <si>
    <t>Excess (mm)</t>
  </si>
  <si>
    <t>Parking (m³)</t>
  </si>
  <si>
    <t>Footprint (m³)</t>
  </si>
  <si>
    <t>Total (m³)</t>
  </si>
  <si>
    <t>Python total (m³)</t>
  </si>
  <si>
    <t>Difference (m³)</t>
  </si>
  <si>
    <t>Pass</t>
  </si>
  <si>
    <t>Try CN 95 or 100 on Inputs. Columns B–G recompute; the Python reference stays fixed until run_project.py is rerun. Initial abstraction is applied once to cumulative rainfall. Depth × area / 1,000 converts mm to m³.</t>
  </si>
  <si>
    <t>Independent continuity | blocked outlet</t>
  </si>
  <si>
    <t>A separate exact fixture: 1 m³/s for eight 5-second steps into a 20 m³ tank, with no controlled outlet. After filling, every extra m³ becomes overflow.</t>
  </si>
  <si>
    <t>Capacity (m³)</t>
  </si>
  <si>
    <t>Step (s)</t>
  </si>
  <si>
    <t>Step</t>
  </si>
  <si>
    <t>Time end (s)</t>
  </si>
  <si>
    <t>Inflow (m³/s)</t>
  </si>
  <si>
    <t>Start S (m³)</t>
  </si>
  <si>
    <t>Available (m³)</t>
  </si>
  <si>
    <t>End S (m³)</t>
  </si>
  <si>
    <t>Overflow (m³)</t>
  </si>
  <si>
    <t>Cumulative overflow</t>
  </si>
  <si>
    <t>Step residual (m³)</t>
  </si>
  <si>
    <t>Total input (m³)</t>
  </si>
  <si>
    <t>Storage + overflow (m³)</t>
  </si>
  <si>
    <t>Water balance pass</t>
  </si>
  <si>
    <t>Independent Excel bisection | one storage step</t>
  </si>
  <si>
    <t>45 formula iterations solve Snew + dt × Q(Snew/A) = Sold + Vin. This reproduces a controlled-outlet step without calling Python's root finder.</t>
  </si>
  <si>
    <t>Area (m²)</t>
  </si>
  <si>
    <t>Old storage (m³)</t>
  </si>
  <si>
    <t>Inflow volume (m³)</t>
  </si>
  <si>
    <t>Opening side (m)</t>
  </si>
  <si>
    <t>Cd</t>
  </si>
  <si>
    <t>Gravity (m/s²)</t>
  </si>
  <si>
    <t>Iteration</t>
  </si>
  <si>
    <t>Lower S</t>
  </si>
  <si>
    <t>Upper S</t>
  </si>
  <si>
    <t>Midpoint S</t>
  </si>
  <si>
    <t>Depth (m)</t>
  </si>
  <si>
    <t>Outlet (m³/s)</t>
  </si>
  <si>
    <t>Equation residual (m³)</t>
  </si>
  <si>
    <t>Formula final S (m³)</t>
  </si>
  <si>
    <t>Python comparison S</t>
  </si>
  <si>
    <t>Independent check pass</t>
  </si>
  <si>
    <t>All candidate-event results</t>
  </si>
  <si>
    <t>Imported numerical results at the verified final resolution; flow is m³/s and downstream discharge includes overflow.</t>
  </si>
  <si>
    <t>event_id</t>
  </si>
  <si>
    <t>rainfall_mm</t>
  </si>
  <si>
    <t>shape</t>
  </si>
  <si>
    <t>dt_s</t>
  </si>
  <si>
    <t>horizon_h</t>
  </si>
  <si>
    <t>curve_number</t>
  </si>
  <si>
    <t>lag_min</t>
  </si>
  <si>
    <t>discharge_coefficient</t>
  </si>
  <si>
    <t>rainfall_total_mm</t>
  </si>
  <si>
    <t>parking_runoff_m3</t>
  </si>
  <si>
    <t>direct_rain_m3</t>
  </si>
  <si>
    <t>total_inflow_m3</t>
  </si>
  <si>
    <t>runoff_generation_error_m3</t>
  </si>
  <si>
    <t>transform_error_m3</t>
  </si>
  <si>
    <t>inflow_tail_end_h</t>
  </si>
  <si>
    <t>baseline_peak_m3_s</t>
  </si>
  <si>
    <t>baseline_time_to_peak_min</t>
  </si>
  <si>
    <t>design_id</t>
  </si>
  <si>
    <t>storage_depth_m</t>
  </si>
  <si>
    <t>capacity_m3</t>
  </si>
  <si>
    <t>outlet_side_mm</t>
  </si>
  <si>
    <t>peak_downstream_m3_s</t>
  </si>
  <si>
    <t>peak_reduction_pct</t>
  </si>
  <si>
    <t>time_to_peak_min</t>
  </si>
  <si>
    <t>maximum_storage_m3</t>
  </si>
  <si>
    <t>maximum_depth_m</t>
  </si>
  <si>
    <t>overflow_m3</t>
  </si>
  <si>
    <t>overflow_onset_min</t>
  </si>
  <si>
    <t>controlled_discharge_m3</t>
  </si>
  <si>
    <t>total_discharge_m3</t>
  </si>
  <si>
    <t>residual_storage_m3</t>
  </si>
  <si>
    <t>drawdown_h_after_rain</t>
  </si>
  <si>
    <t>routing_balance_error_m3</t>
  </si>
  <si>
    <t>routing_balance_relative_error</t>
  </si>
  <si>
    <t>peak_pass</t>
  </si>
  <si>
    <t>overflow_pass</t>
  </si>
  <si>
    <t>drawdown_pass</t>
  </si>
  <si>
    <t>simulation_runtime_s</t>
  </si>
  <si>
    <t>all_pass</t>
  </si>
  <si>
    <t>25mm_uniform</t>
  </si>
  <si>
    <t>uniform</t>
  </si>
  <si>
    <t>h0.150_o40</t>
  </si>
  <si>
    <t>h0.150_o60</t>
  </si>
  <si>
    <t>h0.150_o80</t>
  </si>
  <si>
    <t>h0.150_o100</t>
  </si>
  <si>
    <t>h0.300_o40</t>
  </si>
  <si>
    <t>h0.300_o60</t>
  </si>
  <si>
    <t>h0.300_o80</t>
  </si>
  <si>
    <t>h0.300_o100</t>
  </si>
  <si>
    <t>h0.450_o40</t>
  </si>
  <si>
    <t>h0.450_o60</t>
  </si>
  <si>
    <t>h0.450_o80</t>
  </si>
  <si>
    <t>h0.450_o100</t>
  </si>
  <si>
    <t>h0.600_o40</t>
  </si>
  <si>
    <t>h0.600_o60</t>
  </si>
  <si>
    <t>h0.600_o80</t>
  </si>
  <si>
    <t>h0.600_o100</t>
  </si>
  <si>
    <t>h0.750_o40</t>
  </si>
  <si>
    <t>h0.750_o60</t>
  </si>
  <si>
    <t>h0.750_o80</t>
  </si>
  <si>
    <t>h0.750_o100</t>
  </si>
  <si>
    <t>h0.900_o40</t>
  </si>
  <si>
    <t>h0.900_o60</t>
  </si>
  <si>
    <t>h0.900_o80</t>
  </si>
  <si>
    <t>h0.900_o100</t>
  </si>
  <si>
    <t>25mm_front_loaded</t>
  </si>
  <si>
    <t>front_loaded</t>
  </si>
  <si>
    <t>25mm_back_loaded</t>
  </si>
  <si>
    <t>back_loaded</t>
  </si>
  <si>
    <t>50mm_uniform</t>
  </si>
  <si>
    <t>50mm_front_loaded</t>
  </si>
  <si>
    <t>50mm_back_loaded</t>
  </si>
  <si>
    <t>100mm_uniform</t>
  </si>
  <si>
    <t>100mm_front_loaded</t>
  </si>
  <si>
    <t>100mm_back_loaded</t>
  </si>
  <si>
    <t>Compare every tested design</t>
  </si>
  <si>
    <t>All storm shapes at the design depth must pass. Lowest capacity wins; shortest worst drawdown breaks a capacity tie.</t>
  </si>
  <si>
    <t>all_design_storms_pass</t>
  </si>
  <si>
    <t>worst_peak_reduction_pct</t>
  </si>
  <si>
    <t>worst_overflow_m3</t>
  </si>
  <si>
    <t>worst_drawdown_h</t>
  </si>
  <si>
    <t>passing_shapes</t>
  </si>
  <si>
    <t>One-at-a-time sensitivity</t>
  </si>
  <si>
    <t>Only the named parameter changes. Matching baseline runoff is recomputed for CN and lag changes; nominal rows repeat intentionally in each parameter group.</t>
  </si>
  <si>
    <t>varied_parameter</t>
  </si>
  <si>
    <t>parameter_value</t>
  </si>
  <si>
    <t>is_nominal</t>
  </si>
  <si>
    <t>Time-step verification</t>
  </si>
  <si>
    <t>Relative changes compare coarse and fine outputs. Overflow onset is the start of the first overflowing interval; drawdown uses the final threshold crossing.</t>
  </si>
  <si>
    <t>coarse_dt_s</t>
  </si>
  <si>
    <t>fine_dt_s</t>
  </si>
  <si>
    <t>peak_downstream_m3_s_relative_change</t>
  </si>
  <si>
    <t>maximum_storage_m3_relative_change</t>
  </si>
  <si>
    <t>baseline_peak_m3_s_relative_change</t>
  </si>
  <si>
    <t>overflow_change_m3</t>
  </si>
  <si>
    <t>overflow_onset_change_s</t>
  </si>
  <si>
    <t>overflow_classification_stable</t>
  </si>
  <si>
    <t>drawdown_change_s</t>
  </si>
  <si>
    <t>acceptance_stable</t>
  </si>
  <si>
    <t>peak_storage_converged</t>
  </si>
  <si>
    <t>Source register</t>
  </si>
  <si>
    <t>All numerical source data are bundled with the project. URLs document provenance and are not needed for recomputation.</t>
  </si>
  <si>
    <t>id</t>
  </si>
  <si>
    <t>title</t>
  </si>
  <si>
    <t>url</t>
  </si>
  <si>
    <t>accessed</t>
  </si>
  <si>
    <t>use</t>
  </si>
  <si>
    <t>cn</t>
  </si>
  <si>
    <t>USACE HEC-HMS Technical Reference: SCS Curve Number Loss Model</t>
  </si>
  <si>
    <t>https://www.hec.usace.army.mil/confluence/hmsdocs/hmstrm/canopy-surface-infiltration-and-runoff-volume/infiltration/scs-curve-number-loss-model</t>
  </si>
  <si>
    <t>2026-09-08</t>
  </si>
  <si>
    <t>Cumulative event runoff equation, incremental differencing, and event-only limitation. CN 98 is a project assumption.</t>
  </si>
  <si>
    <t>uh</t>
  </si>
  <si>
    <t>USACE HEC-HMS Technical Reference: SCS Unit Hydrograph Model</t>
  </si>
  <si>
    <t>https://www.hec.usace.army.mil/confluence/hmsdocs/hmstrm/transform/scs-unit-hydrograph-model</t>
  </si>
  <si>
    <t>Tp = lag + excess-rainfall interval / 2; dimensionless hydrograph interpretation.</t>
  </si>
  <si>
    <t>ordinates</t>
  </si>
  <si>
    <t>TxDOT Hydraulic Design Manual: NRCS Dimensionless Unit Hydrograph, Table 4-29</t>
  </si>
  <si>
    <t>https://www.txdot.gov/manuals/des/hyd/chapter-4--hydrology/section-13--hydrograph-method/nrcs-dimensionless-unit-hydrograph.html</t>
  </si>
  <si>
    <t>All 33 time and discharge ordinate pairs in scs_dimensionless_uh.csv, including terminal (5, 0). Table 4-29, not the rounded worked example in Table 4-30.</t>
  </si>
  <si>
    <t>routing</t>
  </si>
  <si>
    <t>USACE HEC-HMS Technical Reference: Reservoir Modeling Concepts and Equations</t>
  </si>
  <si>
    <t>https://www.hec.usace.army.mil/confluence/hmsdocs/hmstrm/reservoir-modeling/reservoir-modeling-concepts-and-equations</t>
  </si>
  <si>
    <t>Level-pool continuity and storage/outflow relationships. This project uses backward Euler, not the manual's trapezoidal Modified Puls implementation.</t>
  </si>
  <si>
    <t>outlet</t>
  </si>
  <si>
    <t>USACE HEC-HMS User's Manual: Outflow Structures Routing</t>
  </si>
  <si>
    <t>https://www.hec.usace.army.mil/confluence/hmsdocs/hmsum/latest/reservoir-elements/outflow-structures-routing</t>
  </si>
  <si>
    <t>Outlet submergence limitations. The vertically integrated floor opening with constant Cd is the project's idealized rating, not a copied or calibrated HEC-HMS structure.</t>
  </si>
  <si>
    <t>selection</t>
  </si>
  <si>
    <t>TxDOT Hydraulic Design Manual: Selection of the Appropriate Method for Calculating Runoff</t>
  </si>
  <si>
    <t>https://www.txdot.gov/manuals/des/hyd/chapter-4--hydrology/section-7--selection-of-the-appropriate-method-for.html</t>
  </si>
  <si>
    <t>Need for an event hydrograph for storage calculations rather than a peak-only runoff estimate.</t>
  </si>
</sst>
</file>

<file path=xl/styles.xml><?xml version="1.0" encoding="utf-8"?>
<styleSheet xmlns="http://schemas.openxmlformats.org/spreadsheetml/2006/main">
  <numFmts count="1">
    <numFmt numFmtId="164" formatCode="0.000000"/>
  </numFmts>
  <fonts count="6">
    <font>
      <sz val="11"/>
      <color theme="1"/>
      <name val="Calibri"/>
      <family val="2"/>
      <scheme val="minor"/>
    </font>
    <font>
      <b/>
      <sz val="20"/>
      <color rgb="FF163640"/>
      <name val="Calibri"/>
      <family val="2"/>
      <scheme val="minor"/>
    </font>
    <font>
      <sz val="11"/>
      <color rgb="FF526470"/>
      <name val="Calibri"/>
      <family val="2"/>
      <scheme val="minor"/>
    </font>
    <font>
      <sz val="11"/>
      <color rgb="FF174F4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F5ED"/>
        <bgColor indexed="64"/>
      </patternFill>
    </fill>
    <fill>
      <patternFill patternType="solid">
        <fgColor rgb="FF16364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164" fontId="3" fillId="0" borderId="0" xfId="0" applyNumberFormat="1" applyFont="1"/>
    <xf numFmtId="164" fontId="0" fillId="2" borderId="0" xfId="0" applyNumberFormat="1" applyFill="1"/>
    <xf numFmtId="0" fontId="4" fillId="3" borderId="0" xfId="0" applyFont="1" applyFill="1" applyAlignment="1">
      <alignment vertical="center" wrapText="1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Same volume enters every design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Parking runoff</c:v>
          </c:tx>
          <c:spPr>
            <a:solidFill>
              <a:srgbClr val="157F79"/>
            </a:solidFill>
          </c:spPr>
          <c:cat>
            <c:numRef>
              <c:f>'Runoff checks'!$A$5:$A$7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'Runoff checks'!$E$5:$E$7</c:f>
              <c:numCache>
                <c:formatCode>General</c:formatCode>
                <c:ptCount val="3"/>
                <c:pt idx="0">
                  <c:v>78.80595469107676</c:v>
                </c:pt>
                <c:pt idx="1">
                  <c:v>177.10337120827518</c:v>
                </c:pt>
                <c:pt idx="2">
                  <c:v>376.15038887164826</c:v>
                </c:pt>
              </c:numCache>
            </c:numRef>
          </c:val>
        </c:ser>
        <c:ser>
          <c:idx val="1"/>
          <c:order val="1"/>
          <c:tx>
            <c:v>Direct footprint rainfall</c:v>
          </c:tx>
          <c:spPr>
            <a:solidFill>
              <a:srgbClr val="86CAB5"/>
            </a:solidFill>
          </c:spPr>
          <c:cat>
            <c:numRef>
              <c:f>'Runoff checks'!$A$5:$A$7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'Runoff checks'!$F$5:$F$7</c:f>
              <c:numCache>
                <c:formatCode>General</c:formatCode>
                <c:ptCount val="3"/>
                <c:pt idx="0">
                  <c:v>5.0</c:v>
                </c:pt>
                <c:pt idx="1">
                  <c:v>10.0</c:v>
                </c:pt>
                <c:pt idx="2">
                  <c:v>20.0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 rainfall (mm)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Runoff + direct rainfall (m³)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Clipped storage keeps overflow in the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Storage</c:v>
          </c:tx>
          <c:marker>
            <c:symbol val="none"/>
          </c:marker>
          <c:cat>
            <c:numRef>
              <c:f>'Storage check'!$B$6:$B$13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cat>
          <c:val>
            <c:numRef>
              <c:f>'Storage check'!$F$6:$F$13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</c:ser>
        <c:ser>
          <c:idx val="1"/>
          <c:order val="1"/>
          <c:tx>
            <c:v>Cumulative overflow</c:v>
          </c:tx>
          <c:marker>
            <c:symbol val="none"/>
          </c:marker>
          <c:cat>
            <c:numRef>
              <c:f>'Storage check'!$B$6:$B$13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cat>
          <c:val>
            <c:numRef>
              <c:f>'Storage check'!$H$6:$H$13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(m³)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Peak reduction alone does not ensure no overflow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peak reduction across design storms</c:v>
          </c:tx>
          <c:spPr>
            <a:solidFill>
              <a:srgbClr val="157F79"/>
            </a:solidFill>
          </c:spPr>
          <c:cat>
            <c:strRef>
              <c:f>'Design selection'!$A$5:$A$28</c:f>
              <c:strCache>
                <c:ptCount val="24"/>
                <c:pt idx="0">
                  <c:v>h0.150_o40</c:v>
                </c:pt>
                <c:pt idx="1">
                  <c:v>h0.150_o60</c:v>
                </c:pt>
                <c:pt idx="2">
                  <c:v>h0.150_o80</c:v>
                </c:pt>
                <c:pt idx="3">
                  <c:v>h0.150_o100</c:v>
                </c:pt>
                <c:pt idx="4">
                  <c:v>h0.300_o40</c:v>
                </c:pt>
                <c:pt idx="5">
                  <c:v>h0.300_o60</c:v>
                </c:pt>
                <c:pt idx="6">
                  <c:v>h0.300_o80</c:v>
                </c:pt>
                <c:pt idx="7">
                  <c:v>h0.300_o100</c:v>
                </c:pt>
                <c:pt idx="8">
                  <c:v>h0.450_o40</c:v>
                </c:pt>
                <c:pt idx="9">
                  <c:v>h0.450_o60</c:v>
                </c:pt>
                <c:pt idx="10">
                  <c:v>h0.450_o80</c:v>
                </c:pt>
                <c:pt idx="11">
                  <c:v>h0.450_o100</c:v>
                </c:pt>
                <c:pt idx="12">
                  <c:v>h0.600_o40</c:v>
                </c:pt>
                <c:pt idx="13">
                  <c:v>h0.600_o60</c:v>
                </c:pt>
                <c:pt idx="14">
                  <c:v>h0.600_o80</c:v>
                </c:pt>
                <c:pt idx="15">
                  <c:v>h0.600_o100</c:v>
                </c:pt>
                <c:pt idx="16">
                  <c:v>h0.750_o40</c:v>
                </c:pt>
                <c:pt idx="17">
                  <c:v>h0.750_o60</c:v>
                </c:pt>
                <c:pt idx="18">
                  <c:v>h0.750_o80</c:v>
                </c:pt>
                <c:pt idx="19">
                  <c:v>h0.750_o100</c:v>
                </c:pt>
                <c:pt idx="20">
                  <c:v>h0.900_o40</c:v>
                </c:pt>
                <c:pt idx="21">
                  <c:v>h0.900_o60</c:v>
                </c:pt>
                <c:pt idx="22">
                  <c:v>h0.900_o80</c:v>
                </c:pt>
                <c:pt idx="23">
                  <c:v>h0.900_o100</c:v>
                </c:pt>
              </c:strCache>
            </c:strRef>
          </c:cat>
          <c:val>
            <c:numRef>
              <c:f>'Design selection'!$F$5:$F$28</c:f>
              <c:numCache>
                <c:formatCode>General</c:formatCode>
                <c:ptCount val="24"/>
                <c:pt idx="0">
                  <c:v>-1.088018564132653e-12</c:v>
                </c:pt>
                <c:pt idx="1">
                  <c:v>-1.088018564132653e-12</c:v>
                </c:pt>
                <c:pt idx="2">
                  <c:v>-1.088018564132653e-12</c:v>
                </c:pt>
                <c:pt idx="3">
                  <c:v>-1.088018564132653e-12</c:v>
                </c:pt>
                <c:pt idx="4">
                  <c:v>9.769962616701378e-13</c:v>
                </c:pt>
                <c:pt idx="5">
                  <c:v>9.769962616701378e-13</c:v>
                </c:pt>
                <c:pt idx="6">
                  <c:v>9.769962616701378e-13</c:v>
                </c:pt>
                <c:pt idx="7">
                  <c:v>9.769962616701378e-13</c:v>
                </c:pt>
                <c:pt idx="8">
                  <c:v>-3.441691376337985e-12</c:v>
                </c:pt>
                <c:pt idx="9">
                  <c:v>-3.441691376337985e-12</c:v>
                </c:pt>
                <c:pt idx="10">
                  <c:v>-3.441691376337985e-12</c:v>
                </c:pt>
                <c:pt idx="11">
                  <c:v>-3.441691376337985e-12</c:v>
                </c:pt>
                <c:pt idx="12">
                  <c:v>2.209343819004062e-12</c:v>
                </c:pt>
                <c:pt idx="13">
                  <c:v>2.209343819004062e-12</c:v>
                </c:pt>
                <c:pt idx="14">
                  <c:v>2.19824158875781e-12</c:v>
                </c:pt>
                <c:pt idx="15">
                  <c:v>7.487751896911899</c:v>
                </c:pt>
                <c:pt idx="16">
                  <c:v>7.86960233679731</c:v>
                </c:pt>
                <c:pt idx="17">
                  <c:v>21.45708628590693</c:v>
                </c:pt>
                <c:pt idx="18">
                  <c:v>66.91570703242213</c:v>
                </c:pt>
                <c:pt idx="19">
                  <c:v>63.08874791575288</c:v>
                </c:pt>
                <c:pt idx="20">
                  <c:v>92.95742175760584</c:v>
                </c:pt>
                <c:pt idx="21">
                  <c:v>84.86771239430099</c:v>
                </c:pt>
                <c:pt idx="22">
                  <c:v>74.63236013278242</c:v>
                </c:pt>
                <c:pt idx="23">
                  <c:v>63.08874791575288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and opening configuration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Peak reduction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1143000</xdr:colOff>
      <xdr:row>28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1143000</xdr:colOff>
      <xdr:row>34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1276350</xdr:colOff>
      <xdr:row>52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ec.usace.army.mil/confluence/hmsdocs/hmstrm/canopy-surface-infiltration-and-runoff-volume/infiltration/scs-curve-number-loss-model" TargetMode="External"/><Relationship Id="rId2" Type="http://schemas.openxmlformats.org/officeDocument/2006/relationships/hyperlink" Target="https://www.hec.usace.army.mil/confluence/hmsdocs/hmstrm/transform/scs-unit-hydrograph-model" TargetMode="External"/><Relationship Id="rId3" Type="http://schemas.openxmlformats.org/officeDocument/2006/relationships/hyperlink" Target="https://www.txdot.gov/manuals/des/hyd/chapter-4--hydrology/section-13--hydrograph-method/nrcs-dimensionless-unit-hydrograph.html" TargetMode="External"/><Relationship Id="rId4" Type="http://schemas.openxmlformats.org/officeDocument/2006/relationships/hyperlink" Target="https://www.hec.usace.army.mil/confluence/hmsdocs/hmstrm/reservoir-modeling/reservoir-modeling-concepts-and-equations" TargetMode="External"/><Relationship Id="rId5" Type="http://schemas.openxmlformats.org/officeDocument/2006/relationships/hyperlink" Target="https://www.hec.usace.army.mil/confluence/hmsdocs/hmsum/latest/reservoir-elements/outflow-structures-routing" TargetMode="External"/><Relationship Id="rId6" Type="http://schemas.openxmlformats.org/officeDocument/2006/relationships/hyperlink" Target="https://www.txdot.gov/manuals/des/hyd/chapter-4--hydrology/section-7--selection-of-the-appropriate-method-f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9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9.7109375" customWidth="1"/>
    <col min="2" max="2" width="19.7109375" customWidth="1"/>
    <col min="3" max="3" width="31.7109375" customWidth="1"/>
    <col min="4" max="13" width="19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t="s">
        <v>2</v>
      </c>
      <c r="B3" s="3">
        <v>4000</v>
      </c>
      <c r="C3" t="s">
        <v>3</v>
      </c>
    </row>
    <row r="4" spans="1:10">
      <c r="A4" t="s">
        <v>4</v>
      </c>
      <c r="B4" s="3">
        <v>200</v>
      </c>
      <c r="C4" t="s">
        <v>3</v>
      </c>
    </row>
    <row r="5" spans="1:10">
      <c r="A5" t="s">
        <v>5</v>
      </c>
      <c r="B5" s="3">
        <v>98</v>
      </c>
      <c r="C5" t="s">
        <v>6</v>
      </c>
    </row>
    <row r="6" spans="1:10">
      <c r="A6" t="s">
        <v>7</v>
      </c>
      <c r="B6" s="3">
        <v>0.2</v>
      </c>
      <c r="C6" t="s">
        <v>8</v>
      </c>
    </row>
    <row r="7" spans="1:10">
      <c r="A7" t="s">
        <v>9</v>
      </c>
      <c r="B7" s="3">
        <v>10</v>
      </c>
      <c r="C7" t="s">
        <v>10</v>
      </c>
    </row>
    <row r="8" spans="1:10">
      <c r="A8" t="s">
        <v>11</v>
      </c>
      <c r="B8" s="3">
        <v>0.62</v>
      </c>
      <c r="C8" t="s">
        <v>6</v>
      </c>
    </row>
    <row r="9" spans="1:10">
      <c r="A9" t="s">
        <v>12</v>
      </c>
      <c r="B9" s="3">
        <v>9.806649999999999</v>
      </c>
      <c r="C9" t="s">
        <v>13</v>
      </c>
    </row>
    <row r="10" spans="1:10">
      <c r="A10" t="s">
        <v>14</v>
      </c>
      <c r="B10" s="3">
        <v>0.75</v>
      </c>
      <c r="C10" t="s">
        <v>15</v>
      </c>
    </row>
    <row r="11" spans="1:10">
      <c r="A11" t="s">
        <v>16</v>
      </c>
      <c r="B11" s="3">
        <v>0.1</v>
      </c>
      <c r="C11" t="s">
        <v>17</v>
      </c>
    </row>
    <row r="12" spans="1:10">
      <c r="A12" t="s">
        <v>18</v>
      </c>
      <c r="B12" s="3">
        <v>1.875</v>
      </c>
      <c r="C12" t="s">
        <v>19</v>
      </c>
    </row>
    <row r="13" spans="1:10">
      <c r="A13" t="s">
        <v>20</v>
      </c>
      <c r="B13" s="4">
        <f>B4*B10</f>
        <v>150.0</v>
      </c>
      <c r="C13" t="s">
        <v>21</v>
      </c>
    </row>
    <row r="14" spans="1:10">
      <c r="A14" t="s">
        <v>22</v>
      </c>
      <c r="B14" s="3">
        <v>50</v>
      </c>
      <c r="C14" t="s">
        <v>23</v>
      </c>
    </row>
    <row r="15" spans="1:10">
      <c r="A15" t="s">
        <v>24</v>
      </c>
      <c r="B15" s="3">
        <v>1E-08</v>
      </c>
      <c r="C15" t="s">
        <v>21</v>
      </c>
    </row>
    <row r="18" spans="1:10">
      <c r="A18" s="2" t="s">
        <v>25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mergeCells count="3">
    <mergeCell ref="A1:J1"/>
    <mergeCell ref="A2:J2"/>
    <mergeCell ref="A18:J19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10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4" spans="1:10" ht="32" customHeight="1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</row>
    <row r="5" spans="1:10">
      <c r="A5">
        <v>25</v>
      </c>
      <c r="B5" s="4">
        <f>25400/Inputs!B5-254</f>
        <v>5.18367346938777</v>
      </c>
      <c r="C5" s="4">
        <f>Inputs!B6*B5</f>
        <v>1.0367346938775541</v>
      </c>
      <c r="D5" s="4">
        <f>IF(A5&lt;=C5,0,(A5-C5)^2/(A5-C5+B5))</f>
        <v>19.70148867276919</v>
      </c>
      <c r="E5" s="4">
        <f>D5*Inputs!B3/1000</f>
        <v>78.80595469107676</v>
      </c>
      <c r="F5" s="4">
        <f>A5*Inputs!B4/1000</f>
        <v>5.0</v>
      </c>
      <c r="G5" s="4">
        <f>E5+F5</f>
        <v>83.80595469107676</v>
      </c>
      <c r="H5">
        <v>83.80595469107676</v>
      </c>
      <c r="I5" s="4">
        <f>G5-H5</f>
        <v>0.0</v>
      </c>
      <c r="J5" s="4" t="b">
        <f>ABS(I5)&lt;=Inputs!B15</f>
        <v>1</v>
      </c>
    </row>
    <row r="6" spans="1:10">
      <c r="A6">
        <v>50</v>
      </c>
      <c r="B6" s="4">
        <f>25400/Inputs!B5-254</f>
        <v>5.18367346938777</v>
      </c>
      <c r="C6" s="4">
        <f>Inputs!B6*B6</f>
        <v>1.0367346938775541</v>
      </c>
      <c r="D6" s="4">
        <f>IF(A6&lt;=C6,0,(A6-C6)^2/(A6-C6+B6))</f>
        <v>44.275842802068794</v>
      </c>
      <c r="E6" s="4">
        <f>D6*Inputs!B3/1000</f>
        <v>177.10337120827518</v>
      </c>
      <c r="F6" s="4">
        <f>A6*Inputs!B4/1000</f>
        <v>10.0</v>
      </c>
      <c r="G6" s="4">
        <f>E6+F6</f>
        <v>187.10337120827518</v>
      </c>
      <c r="H6">
        <v>187.1033712082752</v>
      </c>
      <c r="I6" s="4">
        <f>G6-H6</f>
        <v>-2.842170943040401e-14</v>
      </c>
      <c r="J6" s="4" t="b">
        <f>ABS(I6)&lt;=Inputs!B15</f>
        <v>1</v>
      </c>
    </row>
    <row r="7" spans="1:10">
      <c r="A7">
        <v>100</v>
      </c>
      <c r="B7" s="4">
        <f>25400/Inputs!B5-254</f>
        <v>5.18367346938777</v>
      </c>
      <c r="C7" s="4">
        <f>Inputs!B6*B7</f>
        <v>1.0367346938775541</v>
      </c>
      <c r="D7" s="4">
        <f>IF(A7&lt;=C7,0,(A7-C7)^2/(A7-C7+B7))</f>
        <v>94.03759721791207</v>
      </c>
      <c r="E7" s="4">
        <f>D7*Inputs!B3/1000</f>
        <v>376.15038887164826</v>
      </c>
      <c r="F7" s="4">
        <f>A7*Inputs!B4/1000</f>
        <v>20.0</v>
      </c>
      <c r="G7" s="4">
        <f>E7+F7</f>
        <v>396.15038887164826</v>
      </c>
      <c r="H7">
        <v>396.1503888716483</v>
      </c>
      <c r="I7" s="4">
        <f>G7-H7</f>
        <v>0.0</v>
      </c>
      <c r="J7" s="4" t="b">
        <f>ABS(I7)&lt;=Inputs!B15</f>
        <v>1</v>
      </c>
    </row>
    <row r="11" spans="1:10">
      <c r="A11" s="2" t="s">
        <v>38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</sheetData>
  <mergeCells count="3">
    <mergeCell ref="A1:J1"/>
    <mergeCell ref="A2:J2"/>
    <mergeCell ref="A11:J12"/>
  </mergeCells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10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t="s">
        <v>41</v>
      </c>
      <c r="B3">
        <v>20</v>
      </c>
      <c r="D3" t="s">
        <v>42</v>
      </c>
      <c r="E3">
        <v>5</v>
      </c>
    </row>
    <row r="5" spans="1:10" ht="32" customHeight="1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</row>
    <row r="6" spans="1:10">
      <c r="A6">
        <v>1</v>
      </c>
      <c r="B6" s="4">
        <f>A6*$E$3</f>
        <v>5</v>
      </c>
      <c r="C6">
        <v>1</v>
      </c>
      <c r="D6">
        <v>0</v>
      </c>
      <c r="E6" s="4">
        <f>D6+C6*$E$3</f>
        <v>5</v>
      </c>
      <c r="F6" s="4">
        <f>MIN($B$3,E6)</f>
        <v>5</v>
      </c>
      <c r="G6" s="4">
        <f>MAX(E6-$B$3,0)</f>
        <v>0</v>
      </c>
      <c r="H6" s="4">
        <f>G6</f>
        <v>0</v>
      </c>
      <c r="I6" s="4">
        <f>D6+C6*$E$3-F6-G6</f>
        <v>0</v>
      </c>
    </row>
    <row r="7" spans="1:10">
      <c r="A7">
        <v>2</v>
      </c>
      <c r="B7" s="4">
        <f>A7*$E$3</f>
        <v>10</v>
      </c>
      <c r="C7">
        <v>1</v>
      </c>
      <c r="D7" s="4">
        <f>F6</f>
        <v>5</v>
      </c>
      <c r="E7" s="4">
        <f>D7+C7*$E$3</f>
        <v>10</v>
      </c>
      <c r="F7" s="4">
        <f>MIN($B$3,E7)</f>
        <v>10</v>
      </c>
      <c r="G7" s="4">
        <f>MAX(E7-$B$3,0)</f>
        <v>0</v>
      </c>
      <c r="H7" s="4">
        <f>H6+G7</f>
        <v>0</v>
      </c>
      <c r="I7" s="4">
        <f>D7+C7*$E$3-F7-G7</f>
        <v>0</v>
      </c>
    </row>
    <row r="8" spans="1:10">
      <c r="A8">
        <v>3</v>
      </c>
      <c r="B8" s="4">
        <f>A8*$E$3</f>
        <v>15</v>
      </c>
      <c r="C8">
        <v>1</v>
      </c>
      <c r="D8" s="4">
        <f>F7</f>
        <v>10</v>
      </c>
      <c r="E8" s="4">
        <f>D8+C8*$E$3</f>
        <v>15</v>
      </c>
      <c r="F8" s="4">
        <f>MIN($B$3,E8)</f>
        <v>15</v>
      </c>
      <c r="G8" s="4">
        <f>MAX(E8-$B$3,0)</f>
        <v>0</v>
      </c>
      <c r="H8" s="4">
        <f>H7+G8</f>
        <v>0</v>
      </c>
      <c r="I8" s="4">
        <f>D8+C8*$E$3-F8-G8</f>
        <v>0</v>
      </c>
    </row>
    <row r="9" spans="1:10">
      <c r="A9">
        <v>4</v>
      </c>
      <c r="B9" s="4">
        <f>A9*$E$3</f>
        <v>20</v>
      </c>
      <c r="C9">
        <v>1</v>
      </c>
      <c r="D9" s="4">
        <f>F8</f>
        <v>15</v>
      </c>
      <c r="E9" s="4">
        <f>D9+C9*$E$3</f>
        <v>20</v>
      </c>
      <c r="F9" s="4">
        <f>MIN($B$3,E9)</f>
        <v>20</v>
      </c>
      <c r="G9" s="4">
        <f>MAX(E9-$B$3,0)</f>
        <v>0</v>
      </c>
      <c r="H9" s="4">
        <f>H8+G9</f>
        <v>0</v>
      </c>
      <c r="I9" s="4">
        <f>D9+C9*$E$3-F9-G9</f>
        <v>0</v>
      </c>
    </row>
    <row r="10" spans="1:10">
      <c r="A10">
        <v>5</v>
      </c>
      <c r="B10" s="4">
        <f>A10*$E$3</f>
        <v>25</v>
      </c>
      <c r="C10">
        <v>1</v>
      </c>
      <c r="D10" s="4">
        <f>F9</f>
        <v>20</v>
      </c>
      <c r="E10" s="4">
        <f>D10+C10*$E$3</f>
        <v>25</v>
      </c>
      <c r="F10" s="4">
        <f>MIN($B$3,E10)</f>
        <v>20</v>
      </c>
      <c r="G10" s="4">
        <f>MAX(E10-$B$3,0)</f>
        <v>5</v>
      </c>
      <c r="H10" s="4">
        <f>H9+G10</f>
        <v>5</v>
      </c>
      <c r="I10" s="4">
        <f>D10+C10*$E$3-F10-G10</f>
        <v>0</v>
      </c>
    </row>
    <row r="11" spans="1:10">
      <c r="A11">
        <v>6</v>
      </c>
      <c r="B11" s="4">
        <f>A11*$E$3</f>
        <v>30</v>
      </c>
      <c r="C11">
        <v>1</v>
      </c>
      <c r="D11" s="4">
        <f>F10</f>
        <v>20</v>
      </c>
      <c r="E11" s="4">
        <f>D11+C11*$E$3</f>
        <v>25</v>
      </c>
      <c r="F11" s="4">
        <f>MIN($B$3,E11)</f>
        <v>20</v>
      </c>
      <c r="G11" s="4">
        <f>MAX(E11-$B$3,0)</f>
        <v>5</v>
      </c>
      <c r="H11" s="4">
        <f>H10+G11</f>
        <v>10</v>
      </c>
      <c r="I11" s="4">
        <f>D11+C11*$E$3-F11-G11</f>
        <v>0</v>
      </c>
    </row>
    <row r="12" spans="1:10">
      <c r="A12">
        <v>7</v>
      </c>
      <c r="B12" s="4">
        <f>A12*$E$3</f>
        <v>35</v>
      </c>
      <c r="C12">
        <v>1</v>
      </c>
      <c r="D12" s="4">
        <f>F11</f>
        <v>20</v>
      </c>
      <c r="E12" s="4">
        <f>D12+C12*$E$3</f>
        <v>25</v>
      </c>
      <c r="F12" s="4">
        <f>MIN($B$3,E12)</f>
        <v>20</v>
      </c>
      <c r="G12" s="4">
        <f>MAX(E12-$B$3,0)</f>
        <v>5</v>
      </c>
      <c r="H12" s="4">
        <f>H11+G12</f>
        <v>15</v>
      </c>
      <c r="I12" s="4">
        <f>D12+C12*$E$3-F12-G12</f>
        <v>0</v>
      </c>
    </row>
    <row r="13" spans="1:10">
      <c r="A13">
        <v>8</v>
      </c>
      <c r="B13" s="4">
        <f>A13*$E$3</f>
        <v>40</v>
      </c>
      <c r="C13">
        <v>1</v>
      </c>
      <c r="D13" s="4">
        <f>F12</f>
        <v>20</v>
      </c>
      <c r="E13" s="4">
        <f>D13+C13*$E$3</f>
        <v>25</v>
      </c>
      <c r="F13" s="4">
        <f>MIN($B$3,E13)</f>
        <v>20</v>
      </c>
      <c r="G13" s="4">
        <f>MAX(E13-$B$3,0)</f>
        <v>5</v>
      </c>
      <c r="H13" s="4">
        <f>H12+G13</f>
        <v>20</v>
      </c>
      <c r="I13" s="4">
        <f>D13+C13*$E$3-F13-G13</f>
        <v>0</v>
      </c>
    </row>
    <row r="16" spans="1:10">
      <c r="A16" t="s">
        <v>52</v>
      </c>
      <c r="B16" s="4">
        <f>8*$E$3</f>
        <v>40</v>
      </c>
    </row>
    <row r="17" spans="1:2">
      <c r="A17" t="s">
        <v>53</v>
      </c>
      <c r="B17" s="4">
        <f>F13+H13</f>
        <v>40</v>
      </c>
    </row>
    <row r="18" spans="1:2">
      <c r="A18" t="s">
        <v>54</v>
      </c>
      <c r="B18" s="4" t="b">
        <f>ABS(B16-B17)&lt;=Inputs!B15</f>
        <v>1</v>
      </c>
    </row>
  </sheetData>
  <mergeCells count="2">
    <mergeCell ref="A1:J1"/>
    <mergeCell ref="A2:J2"/>
  </mergeCells>
  <pageMargins left="0.7" right="0.7" top="0.75" bottom="0.75" header="0.3" footer="0.3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4.7109375" customWidth="1"/>
    <col min="2" max="8" width="19.7109375" customWidth="1"/>
    <col min="9" max="9" width="26.7109375" customWidth="1"/>
    <col min="10" max="13" width="19.7109375" customWidth="1"/>
  </cols>
  <sheetData>
    <row r="1" spans="1:10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t="s">
        <v>57</v>
      </c>
      <c r="B4">
        <v>200</v>
      </c>
      <c r="I4" t="s">
        <v>70</v>
      </c>
      <c r="J4" s="4">
        <f>D59</f>
        <v>41.285453061198055</v>
      </c>
    </row>
    <row r="5" spans="1:10">
      <c r="A5" t="s">
        <v>41</v>
      </c>
      <c r="B5">
        <v>120</v>
      </c>
      <c r="I5" t="s">
        <v>71</v>
      </c>
      <c r="J5">
        <v>41.28545306119914</v>
      </c>
    </row>
    <row r="6" spans="1:10">
      <c r="A6" t="s">
        <v>58</v>
      </c>
      <c r="B6">
        <v>40</v>
      </c>
      <c r="I6" t="s">
        <v>36</v>
      </c>
      <c r="J6" s="4">
        <f>J4-J5</f>
        <v>-1.0871303857129533e-12</v>
      </c>
    </row>
    <row r="7" spans="1:10">
      <c r="A7" t="s">
        <v>59</v>
      </c>
      <c r="B7">
        <v>1.5</v>
      </c>
      <c r="I7" t="s">
        <v>72</v>
      </c>
      <c r="J7" s="4" t="b">
        <f>ABS(J6)&lt;=Inputs!B15</f>
        <v>1</v>
      </c>
    </row>
    <row r="8" spans="1:10">
      <c r="A8" t="s">
        <v>42</v>
      </c>
      <c r="B8">
        <v>30</v>
      </c>
      <c r="I8" t="s">
        <v>69</v>
      </c>
      <c r="J8" s="4">
        <f>G59</f>
        <v>-1.0871303857129533e-12</v>
      </c>
    </row>
    <row r="9" spans="1:10">
      <c r="A9" t="s">
        <v>60</v>
      </c>
      <c r="B9">
        <v>0.08</v>
      </c>
    </row>
    <row r="10" spans="1:10">
      <c r="A10" t="s">
        <v>61</v>
      </c>
      <c r="B10">
        <v>0.62</v>
      </c>
    </row>
    <row r="11" spans="1:10">
      <c r="A11" t="s">
        <v>62</v>
      </c>
      <c r="B11">
        <v>9.806649999999999</v>
      </c>
    </row>
    <row r="14" spans="1:10" ht="32" customHeight="1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67</v>
      </c>
      <c r="F14" s="5" t="s">
        <v>68</v>
      </c>
      <c r="G14" s="5" t="s">
        <v>69</v>
      </c>
    </row>
    <row r="15" spans="1:10">
      <c r="A15">
        <v>1</v>
      </c>
      <c r="B15">
        <v>0</v>
      </c>
      <c r="C15" s="4">
        <f>MIN($B$5,$B$6+$B$7)</f>
        <v>41.5</v>
      </c>
      <c r="D15" s="4">
        <f>(B15+C15)/2</f>
        <v>20.75</v>
      </c>
      <c r="E15" s="4">
        <f>D15/$B$4</f>
        <v>0.10375</v>
      </c>
      <c r="F15" s="4">
        <f>(2/3)*$B$10*$B$9*SQRT(2*$B$11)*(E15^1.5-MAX(E15-$B$9,0)^1.5)</f>
        <v>0.004357823556926613</v>
      </c>
      <c r="G15" s="4">
        <f>D15+$B$8*F15-($B$6+$B$7)</f>
        <v>-20.6192652932922</v>
      </c>
    </row>
    <row r="16" spans="1:10">
      <c r="A16">
        <v>2</v>
      </c>
      <c r="B16" s="4">
        <f>IF(G15&gt;0,B15,D15)</f>
        <v>20.75</v>
      </c>
      <c r="C16" s="4">
        <f>IF(G15&gt;0,D15,C15)</f>
        <v>41.5</v>
      </c>
      <c r="D16" s="4">
        <f>(B16+C16)/2</f>
        <v>31.125</v>
      </c>
      <c r="E16" s="4">
        <f>D16/$B$4</f>
        <v>0.155625</v>
      </c>
      <c r="F16" s="4">
        <f>(2/3)*$B$10*$B$9*SQRT(2*$B$11)*(E16^1.5-MAX(E16-$B$9,0)^1.5)</f>
        <v>0.005944983075585599</v>
      </c>
      <c r="G16" s="4">
        <f>D16+$B$8*F16-($B$6+$B$7)</f>
        <v>-10.196650507732432</v>
      </c>
    </row>
    <row r="17" spans="1:7">
      <c r="A17">
        <v>3</v>
      </c>
      <c r="B17" s="4">
        <f>IF(G16&gt;0,B16,D16)</f>
        <v>31.125</v>
      </c>
      <c r="C17" s="4">
        <f>IF(G16&gt;0,D16,C16)</f>
        <v>41.5</v>
      </c>
      <c r="D17" s="4">
        <f>(B17+C17)/2</f>
        <v>36.3125</v>
      </c>
      <c r="E17" s="4">
        <f>D17/$B$4</f>
        <v>0.1815625</v>
      </c>
      <c r="F17" s="4">
        <f>(2/3)*$B$10*$B$9*SQRT(2*$B$11)*(E17^1.5-MAX(E17-$B$9,0)^1.5)</f>
        <v>0.006589486335603941</v>
      </c>
      <c r="G17" s="4">
        <f>D17+$B$8*F17-($B$6+$B$7)</f>
        <v>-4.989815409931879</v>
      </c>
    </row>
    <row r="18" spans="1:7">
      <c r="A18">
        <v>4</v>
      </c>
      <c r="B18" s="4">
        <f>IF(G17&gt;0,B17,D17)</f>
        <v>36.3125</v>
      </c>
      <c r="C18" s="4">
        <f>IF(G17&gt;0,D17,C17)</f>
        <v>41.5</v>
      </c>
      <c r="D18" s="4">
        <f>(B18+C18)/2</f>
        <v>38.90625</v>
      </c>
      <c r="E18" s="4">
        <f>D18/$B$4</f>
        <v>0.19453125</v>
      </c>
      <c r="F18" s="4">
        <f>(2/3)*$B$10*$B$9*SQRT(2*$B$11)*(E18^1.5-MAX(E18-$B$9,0)^1.5)</f>
        <v>0.006888510903632098</v>
      </c>
      <c r="G18" s="4">
        <f>D18+$B$8*F18-($B$6+$B$7)</f>
        <v>-2.3870946728910383</v>
      </c>
    </row>
    <row r="19" spans="1:7">
      <c r="A19">
        <v>5</v>
      </c>
      <c r="B19" s="4">
        <f>IF(G18&gt;0,B18,D18)</f>
        <v>38.90625</v>
      </c>
      <c r="C19" s="4">
        <f>IF(G18&gt;0,D18,C18)</f>
        <v>41.5</v>
      </c>
      <c r="D19" s="4">
        <f>(B19+C19)/2</f>
        <v>40.203125</v>
      </c>
      <c r="E19" s="4">
        <f>D19/$B$4</f>
        <v>0.201015625</v>
      </c>
      <c r="F19" s="4">
        <f>(2/3)*$B$10*$B$9*SQRT(2*$B$11)*(E19^1.5-MAX(E19-$B$9,0)^1.5)</f>
        <v>0.007033144720369383</v>
      </c>
      <c r="G19" s="4">
        <f>D19+$B$8*F19-($B$6+$B$7)</f>
        <v>-1.0858806583889162</v>
      </c>
    </row>
    <row r="20" spans="1:7">
      <c r="A20">
        <v>6</v>
      </c>
      <c r="B20" s="4">
        <f>IF(G19&gt;0,B19,D19)</f>
        <v>40.203125</v>
      </c>
      <c r="C20" s="4">
        <f>IF(G19&gt;0,D19,C19)</f>
        <v>41.5</v>
      </c>
      <c r="D20" s="4">
        <f>(B20+C20)/2</f>
        <v>40.8515625</v>
      </c>
      <c r="E20" s="4">
        <f>D20/$B$4</f>
        <v>0.2042578125</v>
      </c>
      <c r="F20" s="4">
        <f>(2/3)*$B$10*$B$9*SQRT(2*$B$11)*(E20^1.5-MAX(E20-$B$9,0)^1.5)</f>
        <v>0.007104333670801476</v>
      </c>
      <c r="G20" s="4">
        <f>D20+$B$8*F20-($B$6+$B$7)</f>
        <v>-0.435307489875953</v>
      </c>
    </row>
    <row r="21" spans="1:7">
      <c r="A21">
        <v>7</v>
      </c>
      <c r="B21" s="4">
        <f>IF(G20&gt;0,B20,D20)</f>
        <v>40.8515625</v>
      </c>
      <c r="C21" s="4">
        <f>IF(G20&gt;0,D20,C20)</f>
        <v>41.5</v>
      </c>
      <c r="D21" s="4">
        <f>(B21+C21)/2</f>
        <v>41.17578125</v>
      </c>
      <c r="E21" s="4">
        <f>D21/$B$4</f>
        <v>0.20587890625</v>
      </c>
      <c r="F21" s="4">
        <f>(2/3)*$B$10*$B$9*SQRT(2*$B$11)*(E21^1.5-MAX(E21-$B$9,0)^1.5)</f>
        <v>0.007139656459371838</v>
      </c>
      <c r="G21" s="4">
        <f>D21+$B$8*F21-($B$6+$B$7)</f>
        <v>-0.11002905621884196</v>
      </c>
    </row>
    <row r="22" spans="1:7">
      <c r="A22">
        <v>8</v>
      </c>
      <c r="B22" s="4">
        <f>IF(G21&gt;0,B21,D21)</f>
        <v>41.17578125</v>
      </c>
      <c r="C22" s="4">
        <f>IF(G21&gt;0,D21,C21)</f>
        <v>41.5</v>
      </c>
      <c r="D22" s="4">
        <f>(B22+C22)/2</f>
        <v>41.337890625</v>
      </c>
      <c r="E22" s="4">
        <f>D22/$B$4</f>
        <v>0.206689453125</v>
      </c>
      <c r="F22" s="4">
        <f>(2/3)*$B$10*$B$9*SQRT(2*$B$11)*(E22^1.5-MAX(E22-$B$9,0)^1.5)</f>
        <v>0.00715725115617421</v>
      </c>
      <c r="G22" s="4">
        <f>D22+$B$8*F22-($B$6+$B$7)</f>
        <v>0.05260815968522792</v>
      </c>
    </row>
    <row r="23" spans="1:7">
      <c r="A23">
        <v>9</v>
      </c>
      <c r="B23" s="4">
        <f>IF(G22&gt;0,B22,D22)</f>
        <v>41.17578125</v>
      </c>
      <c r="C23" s="4">
        <f>IF(G22&gt;0,D22,C22)</f>
        <v>41.337890625</v>
      </c>
      <c r="D23" s="4">
        <f>(B23+C23)/2</f>
        <v>41.2568359375</v>
      </c>
      <c r="E23" s="4">
        <f>D23/$B$4</f>
        <v>0.2062841796875</v>
      </c>
      <c r="F23" s="4">
        <f>(2/3)*$B$10*$B$9*SQRT(2*$B$11)*(E23^1.5-MAX(E23-$B$9,0)^1.5)</f>
        <v>0.007148459330239197</v>
      </c>
      <c r="G23" s="4">
        <f>D23+$B$8*F23-($B$6+$B$7)</f>
        <v>-0.02871028259282582</v>
      </c>
    </row>
    <row r="24" spans="1:7">
      <c r="A24">
        <v>10</v>
      </c>
      <c r="B24" s="4">
        <f>IF(G23&gt;0,B23,D23)</f>
        <v>41.2568359375</v>
      </c>
      <c r="C24" s="4">
        <f>IF(G23&gt;0,D23,C23)</f>
        <v>41.337890625</v>
      </c>
      <c r="D24" s="4">
        <f>(B24+C24)/2</f>
        <v>41.29736328125</v>
      </c>
      <c r="E24" s="4">
        <f>D24/$B$4</f>
        <v>0.20648681640625</v>
      </c>
      <c r="F24" s="4">
        <f>(2/3)*$B$10*$B$9*SQRT(2*$B$11)*(E24^1.5-MAX(E24-$B$9,0)^1.5)</f>
        <v>0.00715285662117296</v>
      </c>
      <c r="G24" s="4">
        <f>D24+$B$8*F24-($B$6+$B$7)</f>
        <v>0.01194897988519017</v>
      </c>
    </row>
    <row r="25" spans="1:7">
      <c r="A25">
        <v>11</v>
      </c>
      <c r="B25" s="4">
        <f>IF(G24&gt;0,B24,D24)</f>
        <v>41.2568359375</v>
      </c>
      <c r="C25" s="4">
        <f>IF(G24&gt;0,D24,C24)</f>
        <v>41.29736328125</v>
      </c>
      <c r="D25" s="4">
        <f>(B25+C25)/2</f>
        <v>41.277099609375</v>
      </c>
      <c r="E25" s="4">
        <f>D25/$B$4</f>
        <v>0.206385498046875</v>
      </c>
      <c r="F25" s="4">
        <f>(2/3)*$B$10*$B$9*SQRT(2*$B$11)*(E25^1.5-MAX(E25-$B$9,0)^1.5)</f>
        <v>0.007150658320528253</v>
      </c>
      <c r="G25" s="4">
        <f>D25+$B$8*F25-($B$6+$B$7)</f>
        <v>-0.008380641009154033</v>
      </c>
    </row>
    <row r="26" spans="1:7">
      <c r="A26">
        <v>12</v>
      </c>
      <c r="B26" s="4">
        <f>IF(G25&gt;0,B25,D25)</f>
        <v>41.277099609375</v>
      </c>
      <c r="C26" s="4">
        <f>IF(G25&gt;0,D25,C25)</f>
        <v>41.29736328125</v>
      </c>
      <c r="D26" s="4">
        <f>(B26+C26)/2</f>
        <v>41.2872314453125</v>
      </c>
      <c r="E26" s="4">
        <f>D26/$B$4</f>
        <v>0.2064361572265625</v>
      </c>
      <c r="F26" s="4">
        <f>(2/3)*$B$10*$B$9*SQRT(2*$B$11)*(E26^1.5-MAX(E26-$B$9,0)^1.5)</f>
        <v>0.007151757557014783</v>
      </c>
      <c r="G26" s="4">
        <f>D26+$B$8*F26-($B$6+$B$7)</f>
        <v>0.0017841720229441194</v>
      </c>
    </row>
    <row r="27" spans="1:7">
      <c r="A27">
        <v>13</v>
      </c>
      <c r="B27" s="4">
        <f>IF(G26&gt;0,B26,D26)</f>
        <v>41.277099609375</v>
      </c>
      <c r="C27" s="4">
        <f>IF(G26&gt;0,D26,C26)</f>
        <v>41.2872314453125</v>
      </c>
      <c r="D27" s="4">
        <f>(B27+C27)/2</f>
        <v>41.28216552734375</v>
      </c>
      <c r="E27" s="4">
        <f>D27/$B$4</f>
        <v>0.20641082763671875</v>
      </c>
      <c r="F27" s="4">
        <f>(2/3)*$B$10*$B$9*SQRT(2*$B$11)*(E27^1.5-MAX(E27-$B$9,0)^1.5)</f>
        <v>0.0071512079603177296</v>
      </c>
      <c r="G27" s="4">
        <f>D27+$B$8*F27-($B$6+$B$7)</f>
        <v>-0.0032982338467206773</v>
      </c>
    </row>
    <row r="28" spans="1:7">
      <c r="A28">
        <v>14</v>
      </c>
      <c r="B28" s="4">
        <f>IF(G27&gt;0,B27,D27)</f>
        <v>41.28216552734375</v>
      </c>
      <c r="C28" s="4">
        <f>IF(G27&gt;0,D27,C27)</f>
        <v>41.2872314453125</v>
      </c>
      <c r="D28" s="4">
        <f>(B28+C28)/2</f>
        <v>41.284698486328125</v>
      </c>
      <c r="E28" s="4">
        <f>D28/$B$4</f>
        <v>0.20642349243164063</v>
      </c>
      <c r="F28" s="4">
        <f>(2/3)*$B$10*$B$9*SQRT(2*$B$11)*(E28^1.5-MAX(E28-$B$9,0)^1.5)</f>
        <v>0.00715148276405216</v>
      </c>
      <c r="G28" s="4">
        <f>D28+$B$8*F28-($B$6+$B$7)</f>
        <v>-0.0007570307503073082</v>
      </c>
    </row>
    <row r="29" spans="1:7">
      <c r="A29">
        <v>15</v>
      </c>
      <c r="B29" s="4">
        <f>IF(G28&gt;0,B28,D28)</f>
        <v>41.284698486328125</v>
      </c>
      <c r="C29" s="4">
        <f>IF(G28&gt;0,D28,C28)</f>
        <v>41.2872314453125</v>
      </c>
      <c r="D29" s="4">
        <f>(B29+C29)/2</f>
        <v>41.28596496582031</v>
      </c>
      <c r="E29" s="4">
        <f>D29/$B$4</f>
        <v>0.20642982482910155</v>
      </c>
      <c r="F29" s="4">
        <f>(2/3)*$B$10*$B$9*SQRT(2*$B$11)*(E29^1.5-MAX(E29-$B$9,0)^1.5)</f>
        <v>0.007151620161879868</v>
      </c>
      <c r="G29" s="4">
        <f>D29+$B$8*F29-($B$6+$B$7)</f>
        <v>0.0005135706767092074</v>
      </c>
    </row>
    <row r="30" spans="1:7">
      <c r="A30">
        <v>16</v>
      </c>
      <c r="B30" s="4">
        <f>IF(G29&gt;0,B29,D29)</f>
        <v>41.284698486328125</v>
      </c>
      <c r="C30" s="4">
        <f>IF(G29&gt;0,D29,C29)</f>
        <v>41.28596496582031</v>
      </c>
      <c r="D30" s="4">
        <f>(B30+C30)/2</f>
        <v>41.28533172607422</v>
      </c>
      <c r="E30" s="4">
        <f>D30/$B$4</f>
        <v>0.2064266586303711</v>
      </c>
      <c r="F30" s="4">
        <f>(2/3)*$B$10*$B$9*SQRT(2*$B$11)*(E30^1.5-MAX(E30-$B$9,0)^1.5)</f>
        <v>0.007151551463302623</v>
      </c>
      <c r="G30" s="4">
        <f>D30+$B$8*F30-($B$6+$B$7)</f>
        <v>-0.0001217300267057908</v>
      </c>
    </row>
    <row r="31" spans="1:7">
      <c r="A31">
        <v>17</v>
      </c>
      <c r="B31" s="4">
        <f>IF(G30&gt;0,B30,D30)</f>
        <v>41.28533172607422</v>
      </c>
      <c r="C31" s="4">
        <f>IF(G30&gt;0,D30,C30)</f>
        <v>41.28596496582031</v>
      </c>
      <c r="D31" s="4">
        <f>(B31+C31)/2</f>
        <v>41.285648345947266</v>
      </c>
      <c r="E31" s="4">
        <f>D31/$B$4</f>
        <v>0.20642824172973634</v>
      </c>
      <c r="F31" s="4">
        <f>(2/3)*$B$10*$B$9*SQRT(2*$B$11)*(E31^1.5-MAX(E31-$B$9,0)^1.5)</f>
        <v>0.007151585812675398</v>
      </c>
      <c r="G31" s="4">
        <f>D31+$B$8*F31-($B$6+$B$7)</f>
        <v>0.00019592032752768773</v>
      </c>
    </row>
    <row r="32" spans="1:7">
      <c r="A32">
        <v>18</v>
      </c>
      <c r="B32" s="4">
        <f>IF(G31&gt;0,B31,D31)</f>
        <v>41.28533172607422</v>
      </c>
      <c r="C32" s="4">
        <f>IF(G31&gt;0,D31,C31)</f>
        <v>41.285648345947266</v>
      </c>
      <c r="D32" s="4">
        <f>(B32+C32)/2</f>
        <v>41.28549003601074</v>
      </c>
      <c r="E32" s="4">
        <f>D32/$B$4</f>
        <v>0.2064274501800537</v>
      </c>
      <c r="F32" s="4">
        <f>(2/3)*$B$10*$B$9*SQRT(2*$B$11)*(E32^1.5-MAX(E32-$B$9,0)^1.5)</f>
        <v>0.007151568638010049</v>
      </c>
      <c r="G32" s="4">
        <f>D32+$B$8*F32-($B$6+$B$7)</f>
        <v>3.70951510433315e-05</v>
      </c>
    </row>
    <row r="33" spans="1:7">
      <c r="A33">
        <v>19</v>
      </c>
      <c r="B33" s="4">
        <f>IF(G32&gt;0,B32,D32)</f>
        <v>41.28533172607422</v>
      </c>
      <c r="C33" s="4">
        <f>IF(G32&gt;0,D32,C32)</f>
        <v>41.28549003601074</v>
      </c>
      <c r="D33" s="4">
        <f>(B33+C33)/2</f>
        <v>41.28541088104248</v>
      </c>
      <c r="E33" s="4">
        <f>D33/$B$4</f>
        <v>0.2064270544052124</v>
      </c>
      <c r="F33" s="4">
        <f>(2/3)*$B$10*$B$9*SQRT(2*$B$11)*(E33^1.5-MAX(E33-$B$9,0)^1.5)</f>
        <v>0.007151560050661593</v>
      </c>
      <c r="G33" s="4">
        <f>D33+$B$8*F33-($B$6+$B$7)</f>
        <v>-4.231743767491025e-05</v>
      </c>
    </row>
    <row r="34" spans="1:7">
      <c r="A34">
        <v>20</v>
      </c>
      <c r="B34" s="4">
        <f>IF(G33&gt;0,B33,D33)</f>
        <v>41.28541088104248</v>
      </c>
      <c r="C34" s="4">
        <f>IF(G33&gt;0,D33,C33)</f>
        <v>41.28549003601074</v>
      </c>
      <c r="D34" s="4">
        <f>(B34+C34)/2</f>
        <v>41.28545045852661</v>
      </c>
      <c r="E34" s="4">
        <f>D34/$B$4</f>
        <v>0.20642725229263306</v>
      </c>
      <c r="F34" s="4">
        <f>(2/3)*$B$10*$B$9*SQRT(2*$B$11)*(E34^1.5-MAX(E34-$B$9,0)^1.5)</f>
        <v>0.007151564344337137</v>
      </c>
      <c r="G34" s="4">
        <f>D34+$B$8*F34-($B$6+$B$7)</f>
        <v>-2.611143273156813e-06</v>
      </c>
    </row>
    <row r="35" spans="1:7">
      <c r="A35">
        <v>21</v>
      </c>
      <c r="B35" s="4">
        <f>IF(G34&gt;0,B34,D34)</f>
        <v>41.28545045852661</v>
      </c>
      <c r="C35" s="4">
        <f>IF(G34&gt;0,D34,C34)</f>
        <v>41.28549003601074</v>
      </c>
      <c r="D35" s="4">
        <f>(B35+C35)/2</f>
        <v>41.28547024726868</v>
      </c>
      <c r="E35" s="4">
        <f>D35/$B$4</f>
        <v>0.20642735123634337</v>
      </c>
      <c r="F35" s="4">
        <f>(2/3)*$B$10*$B$9*SQRT(2*$B$11)*(E35^1.5-MAX(E35-$B$9,0)^1.5)</f>
        <v>0.007151566491173922</v>
      </c>
      <c r="G35" s="4">
        <f>D35+$B$8*F35-($B$6+$B$7)</f>
        <v>1.724200389219277e-05</v>
      </c>
    </row>
    <row r="36" spans="1:7">
      <c r="A36">
        <v>22</v>
      </c>
      <c r="B36" s="4">
        <f>IF(G35&gt;0,B35,D35)</f>
        <v>41.28545045852661</v>
      </c>
      <c r="C36" s="4">
        <f>IF(G35&gt;0,D35,C35)</f>
        <v>41.28547024726868</v>
      </c>
      <c r="D36" s="4">
        <f>(B36+C36)/2</f>
        <v>41.285460352897644</v>
      </c>
      <c r="E36" s="4">
        <f>D36/$B$4</f>
        <v>0.20642730176448823</v>
      </c>
      <c r="F36" s="4">
        <f>(2/3)*$B$10*$B$9*SQRT(2*$B$11)*(E36^1.5-MAX(E36-$B$9,0)^1.5)</f>
        <v>0.00715156541775561</v>
      </c>
      <c r="G36" s="4">
        <f>D36+$B$8*F36-($B$6+$B$7)</f>
        <v>7.3154303095179785e-06</v>
      </c>
    </row>
    <row r="37" spans="1:7">
      <c r="A37">
        <v>23</v>
      </c>
      <c r="B37" s="4">
        <f>IF(G36&gt;0,B36,D36)</f>
        <v>41.28545045852661</v>
      </c>
      <c r="C37" s="4">
        <f>IF(G36&gt;0,D36,C36)</f>
        <v>41.285460352897644</v>
      </c>
      <c r="D37" s="4">
        <f>(B37+C37)/2</f>
        <v>41.28545540571213</v>
      </c>
      <c r="E37" s="4">
        <f>D37/$B$4</f>
        <v>0.20642727702856065</v>
      </c>
      <c r="F37" s="4">
        <f>(2/3)*$B$10*$B$9*SQRT(2*$B$11)*(E37^1.5-MAX(E37-$B$9,0)^1.5)</f>
        <v>0.007151564881046393</v>
      </c>
      <c r="G37" s="4">
        <f>D37+$B$8*F37-($B$6+$B$7)</f>
        <v>2.3521435181805828e-06</v>
      </c>
    </row>
    <row r="38" spans="1:7">
      <c r="A38">
        <v>24</v>
      </c>
      <c r="B38" s="4">
        <f>IF(G37&gt;0,B37,D37)</f>
        <v>41.28545045852661</v>
      </c>
      <c r="C38" s="4">
        <f>IF(G37&gt;0,D37,C37)</f>
        <v>41.28545540571213</v>
      </c>
      <c r="D38" s="4">
        <f>(B38+C38)/2</f>
        <v>41.28545293211937</v>
      </c>
      <c r="E38" s="4">
        <f>D38/$B$4</f>
        <v>0.20642726466059685</v>
      </c>
      <c r="F38" s="4">
        <f>(2/3)*$B$10*$B$9*SQRT(2*$B$11)*(E38^1.5-MAX(E38-$B$9,0)^1.5)</f>
        <v>0.007151564612691771</v>
      </c>
      <c r="G38" s="4">
        <f>D38+$B$8*F38-($B$6+$B$7)</f>
        <v>-1.294998739354014e-07</v>
      </c>
    </row>
    <row r="39" spans="1:7">
      <c r="A39">
        <v>25</v>
      </c>
      <c r="B39" s="4">
        <f>IF(G38&gt;0,B38,D38)</f>
        <v>41.28545293211937</v>
      </c>
      <c r="C39" s="4">
        <f>IF(G38&gt;0,D38,C38)</f>
        <v>41.28545540571213</v>
      </c>
      <c r="D39" s="4">
        <f>(B39+C39)/2</f>
        <v>41.28545416891575</v>
      </c>
      <c r="E39" s="4">
        <f>D39/$B$4</f>
        <v>0.20642727084457874</v>
      </c>
      <c r="F39" s="4">
        <f>(2/3)*$B$10*$B$9*SQRT(2*$B$11)*(E39^1.5-MAX(E39-$B$9,0)^1.5)</f>
        <v>0.007151564746869086</v>
      </c>
      <c r="G39" s="4">
        <f>D39+$B$8*F39-($B$6+$B$7)</f>
        <v>1.1113218221225907e-06</v>
      </c>
    </row>
    <row r="40" spans="1:7">
      <c r="A40">
        <v>26</v>
      </c>
      <c r="B40" s="4">
        <f>IF(G39&gt;0,B39,D39)</f>
        <v>41.28545293211937</v>
      </c>
      <c r="C40" s="4">
        <f>IF(G39&gt;0,D39,C39)</f>
        <v>41.28545416891575</v>
      </c>
      <c r="D40" s="4">
        <f>(B40+C40)/2</f>
        <v>41.28545355051756</v>
      </c>
      <c r="E40" s="4">
        <f>D40/$B$4</f>
        <v>0.2064272677525878</v>
      </c>
      <c r="F40" s="4">
        <f>(2/3)*$B$10*$B$9*SQRT(2*$B$11)*(E40^1.5-MAX(E40-$B$9,0)^1.5)</f>
        <v>0.007151564679780428</v>
      </c>
      <c r="G40" s="4">
        <f>D40+$B$8*F40-($B$6+$B$7)</f>
        <v>4.90910970540881e-07</v>
      </c>
    </row>
    <row r="41" spans="1:7">
      <c r="A41">
        <v>27</v>
      </c>
      <c r="B41" s="4">
        <f>IF(G40&gt;0,B40,D40)</f>
        <v>41.28545293211937</v>
      </c>
      <c r="C41" s="4">
        <f>IF(G40&gt;0,D40,C40)</f>
        <v>41.28545355051756</v>
      </c>
      <c r="D41" s="4">
        <f>(B41+C41)/2</f>
        <v>41.285453241318464</v>
      </c>
      <c r="E41" s="4">
        <f>D41/$B$4</f>
        <v>0.20642726620659232</v>
      </c>
      <c r="F41" s="4">
        <f>(2/3)*$B$10*$B$9*SQRT(2*$B$11)*(E41^1.5-MAX(E41-$B$9,0)^1.5)</f>
        <v>0.0071515646462360985</v>
      </c>
      <c r="G41" s="4">
        <f>D41+$B$8*F41-($B$6+$B$7)</f>
        <v>1.8070554830273977e-07</v>
      </c>
    </row>
    <row r="42" spans="1:7">
      <c r="A42">
        <v>28</v>
      </c>
      <c r="B42" s="4">
        <f>IF(G41&gt;0,B41,D41)</f>
        <v>41.28545293211937</v>
      </c>
      <c r="C42" s="4">
        <f>IF(G41&gt;0,D41,C41)</f>
        <v>41.285453241318464</v>
      </c>
      <c r="D42" s="4">
        <f>(B42+C42)/2</f>
        <v>41.28545308671892</v>
      </c>
      <c r="E42" s="4">
        <f>D42/$B$4</f>
        <v>0.20642726543359458</v>
      </c>
      <c r="F42" s="4">
        <f>(2/3)*$B$10*$B$9*SQRT(2*$B$11)*(E42^1.5-MAX(E42-$B$9,0)^1.5)</f>
        <v>0.007151564629463935</v>
      </c>
      <c r="G42" s="4">
        <f>D42+$B$8*F42-($B$6+$B$7)</f>
        <v>2.560283718366918e-08</v>
      </c>
    </row>
    <row r="43" spans="1:7">
      <c r="A43">
        <v>29</v>
      </c>
      <c r="B43" s="4">
        <f>IF(G42&gt;0,B42,D42)</f>
        <v>41.28545293211937</v>
      </c>
      <c r="C43" s="4">
        <f>IF(G42&gt;0,D42,C42)</f>
        <v>41.28545308671892</v>
      </c>
      <c r="D43" s="4">
        <f>(B43+C43)/2</f>
        <v>41.28545300941914</v>
      </c>
      <c r="E43" s="4">
        <f>D43/$B$4</f>
        <v>0.20642726504709571</v>
      </c>
      <c r="F43" s="4">
        <f>(2/3)*$B$10*$B$9*SQRT(2*$B$11)*(E43^1.5-MAX(E43-$B$9,0)^1.5)</f>
        <v>0.007151564621077852</v>
      </c>
      <c r="G43" s="4">
        <f>D43+$B$8*F43-($B$6+$B$7)</f>
        <v>-5.1948518375866115e-08</v>
      </c>
    </row>
    <row r="44" spans="1:7">
      <c r="A44">
        <v>30</v>
      </c>
      <c r="B44" s="4">
        <f>IF(G43&gt;0,B43,D43)</f>
        <v>41.28545300941914</v>
      </c>
      <c r="C44" s="4">
        <f>IF(G43&gt;0,D43,C43)</f>
        <v>41.28545308671892</v>
      </c>
      <c r="D44" s="4">
        <f>(B44+C44)/2</f>
        <v>41.28545304806903</v>
      </c>
      <c r="E44" s="4">
        <f>D44/$B$4</f>
        <v>0.20642726524034516</v>
      </c>
      <c r="F44" s="4">
        <f>(2/3)*$B$10*$B$9*SQRT(2*$B$11)*(E44^1.5-MAX(E44-$B$9,0)^1.5)</f>
        <v>0.007151564625270896</v>
      </c>
      <c r="G44" s="4">
        <f>D44+$B$8*F44-($B$6+$B$7)</f>
        <v>-1.3172844148812146e-08</v>
      </c>
    </row>
    <row r="45" spans="1:7">
      <c r="A45">
        <v>31</v>
      </c>
      <c r="B45" s="4">
        <f>IF(G44&gt;0,B44,D44)</f>
        <v>41.28545304806903</v>
      </c>
      <c r="C45" s="4">
        <f>IF(G44&gt;0,D44,C44)</f>
        <v>41.28545308671892</v>
      </c>
      <c r="D45" s="4">
        <f>(B45+C45)/2</f>
        <v>41.28545306739397</v>
      </c>
      <c r="E45" s="4">
        <f>D45/$B$4</f>
        <v>0.20642726533696987</v>
      </c>
      <c r="F45" s="4">
        <f>(2/3)*$B$10*$B$9*SQRT(2*$B$11)*(E45^1.5-MAX(E45-$B$9,0)^1.5)</f>
        <v>0.007151564627367415</v>
      </c>
      <c r="G45" s="4">
        <f>D45+$B$8*F45-($B$6+$B$7)</f>
        <v>6.214996517428517e-09</v>
      </c>
    </row>
    <row r="46" spans="1:7">
      <c r="A46">
        <v>32</v>
      </c>
      <c r="B46" s="4">
        <f>IF(G45&gt;0,B45,D45)</f>
        <v>41.28545304806903</v>
      </c>
      <c r="C46" s="4">
        <f>IF(G45&gt;0,D45,C45)</f>
        <v>41.28545306739397</v>
      </c>
      <c r="D46" s="4">
        <f>(B46+C46)/2</f>
        <v>41.2854530577315</v>
      </c>
      <c r="E46" s="4">
        <f>D46/$B$4</f>
        <v>0.2064272652886575</v>
      </c>
      <c r="F46" s="4">
        <f>(2/3)*$B$10*$B$9*SQRT(2*$B$11)*(E46^1.5-MAX(E46-$B$9,0)^1.5)</f>
        <v>0.007151564626319155</v>
      </c>
      <c r="G46" s="4">
        <f>D46+$B$8*F46-($B$6+$B$7)</f>
        <v>-3.4789238156918145e-09</v>
      </c>
    </row>
    <row r="47" spans="1:7">
      <c r="A47">
        <v>33</v>
      </c>
      <c r="B47" s="4">
        <f>IF(G46&gt;0,B46,D46)</f>
        <v>41.2854530577315</v>
      </c>
      <c r="C47" s="4">
        <f>IF(G46&gt;0,D46,C46)</f>
        <v>41.28545306739397</v>
      </c>
      <c r="D47" s="4">
        <f>(B47+C47)/2</f>
        <v>41.28545306256274</v>
      </c>
      <c r="E47" s="4">
        <f>D47/$B$4</f>
        <v>0.2064272653128137</v>
      </c>
      <c r="F47" s="4">
        <f>(2/3)*$B$10*$B$9*SQRT(2*$B$11)*(E47^1.5-MAX(E47-$B$9,0)^1.5)</f>
        <v>0.007151564626843285</v>
      </c>
      <c r="G47" s="4">
        <f>D47+$B$8*F47-($B$6+$B$7)</f>
        <v>1.3680363508683513e-09</v>
      </c>
    </row>
    <row r="48" spans="1:7">
      <c r="A48">
        <v>34</v>
      </c>
      <c r="B48" s="4">
        <f>IF(G47&gt;0,B47,D47)</f>
        <v>41.2854530577315</v>
      </c>
      <c r="C48" s="4">
        <f>IF(G47&gt;0,D47,C47)</f>
        <v>41.28545306256274</v>
      </c>
      <c r="D48" s="4">
        <f>(B48+C48)/2</f>
        <v>41.28545306014712</v>
      </c>
      <c r="E48" s="4">
        <f>D48/$B$4</f>
        <v>0.2064272653007356</v>
      </c>
      <c r="F48" s="4">
        <f>(2/3)*$B$10*$B$9*SQRT(2*$B$11)*(E48^1.5-MAX(E48-$B$9,0)^1.5)</f>
        <v>0.007151564626581218</v>
      </c>
      <c r="G48" s="4">
        <f>D48+$B$8*F48-($B$6+$B$7)</f>
        <v>-1.0554472851254104e-09</v>
      </c>
    </row>
    <row r="49" spans="1:7">
      <c r="A49">
        <v>35</v>
      </c>
      <c r="B49" s="4">
        <f>IF(G48&gt;0,B48,D48)</f>
        <v>41.28545306014712</v>
      </c>
      <c r="C49" s="4">
        <f>IF(G48&gt;0,D48,C48)</f>
        <v>41.28545306256274</v>
      </c>
      <c r="D49" s="4">
        <f>(B49+C49)/2</f>
        <v>41.28545306135493</v>
      </c>
      <c r="E49" s="4">
        <f>D49/$B$4</f>
        <v>0.20642726530677463</v>
      </c>
      <c r="F49" s="4">
        <f>(2/3)*$B$10*$B$9*SQRT(2*$B$11)*(E49^1.5-MAX(E49-$B$9,0)^1.5)</f>
        <v>0.007151564626712253</v>
      </c>
      <c r="G49" s="4">
        <f>D49+$B$8*F49-($B$6+$B$7)</f>
        <v>1.5629808558514924e-10</v>
      </c>
    </row>
    <row r="50" spans="1:7">
      <c r="A50">
        <v>36</v>
      </c>
      <c r="B50" s="4">
        <f>IF(G49&gt;0,B49,D49)</f>
        <v>41.28545306014712</v>
      </c>
      <c r="C50" s="4">
        <f>IF(G49&gt;0,D49,C49)</f>
        <v>41.28545306135493</v>
      </c>
      <c r="D50" s="4">
        <f>(B50+C50)/2</f>
        <v>41.285453060751024</v>
      </c>
      <c r="E50" s="4">
        <f>D50/$B$4</f>
        <v>0.20642726530375513</v>
      </c>
      <c r="F50" s="4">
        <f>(2/3)*$B$10*$B$9*SQRT(2*$B$11)*(E50^1.5-MAX(E50-$B$9,0)^1.5)</f>
        <v>0.007151564626646734</v>
      </c>
      <c r="G50" s="4">
        <f>D50+$B$8*F50-($B$6+$B$7)</f>
        <v>-4.495745997701306e-10</v>
      </c>
    </row>
    <row r="51" spans="1:7">
      <c r="A51">
        <v>37</v>
      </c>
      <c r="B51" s="4">
        <f>IF(G50&gt;0,B50,D50)</f>
        <v>41.285453060751024</v>
      </c>
      <c r="C51" s="4">
        <f>IF(G50&gt;0,D50,C50)</f>
        <v>41.28545306135493</v>
      </c>
      <c r="D51" s="4">
        <f>(B51+C51)/2</f>
        <v>41.285453061052976</v>
      </c>
      <c r="E51" s="4">
        <f>D51/$B$4</f>
        <v>0.2064272653052649</v>
      </c>
      <c r="F51" s="4">
        <f>(2/3)*$B$10*$B$9*SQRT(2*$B$11)*(E51^1.5-MAX(E51-$B$9,0)^1.5)</f>
        <v>0.007151564626679495</v>
      </c>
      <c r="G51" s="4">
        <f>D51+$B$8*F51-($B$6+$B$7)</f>
        <v>-1.4664180980616948e-10</v>
      </c>
    </row>
    <row r="52" spans="1:7">
      <c r="A52">
        <v>38</v>
      </c>
      <c r="B52" s="4">
        <f>IF(G51&gt;0,B51,D51)</f>
        <v>41.285453061052976</v>
      </c>
      <c r="C52" s="4">
        <f>IF(G51&gt;0,D51,C51)</f>
        <v>41.28545306135493</v>
      </c>
      <c r="D52" s="4">
        <f>(B52+C52)/2</f>
        <v>41.28545306120395</v>
      </c>
      <c r="E52" s="4">
        <f>D52/$B$4</f>
        <v>0.20642726530601976</v>
      </c>
      <c r="F52" s="4">
        <f>(2/3)*$B$10*$B$9*SQRT(2*$B$11)*(E52^1.5-MAX(E52-$B$9,0)^1.5)</f>
        <v>0.0071515646266958706</v>
      </c>
      <c r="G52" s="4">
        <f>D52+$B$8*F52-($B$6+$B$7)</f>
        <v>4.831690603168681e-12</v>
      </c>
    </row>
    <row r="53" spans="1:7">
      <c r="A53">
        <v>39</v>
      </c>
      <c r="B53" s="4">
        <f>IF(G52&gt;0,B52,D52)</f>
        <v>41.285453061052976</v>
      </c>
      <c r="C53" s="4">
        <f>IF(G52&gt;0,D52,C52)</f>
        <v>41.28545306120395</v>
      </c>
      <c r="D53" s="4">
        <f>(B53+C53)/2</f>
        <v>41.285453061128464</v>
      </c>
      <c r="E53" s="4">
        <f>D53/$B$4</f>
        <v>0.20642726530564232</v>
      </c>
      <c r="F53" s="4">
        <f>(2/3)*$B$10*$B$9*SQRT(2*$B$11)*(E53^1.5-MAX(E53-$B$9,0)^1.5)</f>
        <v>0.007151564626687683</v>
      </c>
      <c r="G53" s="4">
        <f>D53+$B$8*F53-($B$6+$B$7)</f>
        <v>-7.09050596015004e-11</v>
      </c>
    </row>
    <row r="54" spans="1:7">
      <c r="A54">
        <v>40</v>
      </c>
      <c r="B54" s="4">
        <f>IF(G53&gt;0,B53,D53)</f>
        <v>41.285453061128464</v>
      </c>
      <c r="C54" s="4">
        <f>IF(G53&gt;0,D53,C53)</f>
        <v>41.28545306120395</v>
      </c>
      <c r="D54" s="4">
        <f>(B54+C54)/2</f>
        <v>41.28545306116621</v>
      </c>
      <c r="E54" s="4">
        <f>D54/$B$4</f>
        <v>0.20642726530583105</v>
      </c>
      <c r="F54" s="4">
        <f>(2/3)*$B$10*$B$9*SQRT(2*$B$11)*(E54^1.5-MAX(E54-$B$9,0)^1.5)</f>
        <v>0.007151564626691779</v>
      </c>
      <c r="G54" s="4">
        <f>D54+$B$8*F54-($B$6+$B$7)</f>
        <v>-3.304023721284466e-11</v>
      </c>
    </row>
    <row r="55" spans="1:7">
      <c r="A55">
        <v>41</v>
      </c>
      <c r="B55" s="4">
        <f>IF(G54&gt;0,B54,D54)</f>
        <v>41.28545306116621</v>
      </c>
      <c r="C55" s="4">
        <f>IF(G54&gt;0,D54,C54)</f>
        <v>41.28545306120395</v>
      </c>
      <c r="D55" s="4">
        <f>(B55+C55)/2</f>
        <v>41.28545306118508</v>
      </c>
      <c r="E55" s="4">
        <f>D55/$B$4</f>
        <v>0.2064272653059254</v>
      </c>
      <c r="F55" s="4">
        <f>(2/3)*$B$10*$B$9*SQRT(2*$B$11)*(E55^1.5-MAX(E55-$B$9,0)^1.5)</f>
        <v>0.0071515646266938245</v>
      </c>
      <c r="G55" s="4">
        <f>D55+$B$8*F55-($B$6+$B$7)</f>
        <v>-1.4104273304837989e-11</v>
      </c>
    </row>
    <row r="56" spans="1:7">
      <c r="A56">
        <v>42</v>
      </c>
      <c r="B56" s="4">
        <f>IF(G55&gt;0,B55,D55)</f>
        <v>41.28545306118508</v>
      </c>
      <c r="C56" s="4">
        <f>IF(G55&gt;0,D55,C55)</f>
        <v>41.28545306120395</v>
      </c>
      <c r="D56" s="4">
        <f>(B56+C56)/2</f>
        <v>41.28545306119452</v>
      </c>
      <c r="E56" s="4">
        <f>D56/$B$4</f>
        <v>0.20642726530597258</v>
      </c>
      <c r="F56" s="4">
        <f>(2/3)*$B$10*$B$9*SQRT(2*$B$11)*(E56^1.5-MAX(E56-$B$9,0)^1.5)</f>
        <v>0.007151564626694848</v>
      </c>
      <c r="G56" s="4">
        <f>D56+$B$8*F56-($B$6+$B$7)</f>
        <v>-4.639844064513454e-12</v>
      </c>
    </row>
    <row r="57" spans="1:7">
      <c r="A57">
        <v>43</v>
      </c>
      <c r="B57" s="4">
        <f>IF(G56&gt;0,B56,D56)</f>
        <v>41.28545306119452</v>
      </c>
      <c r="C57" s="4">
        <f>IF(G56&gt;0,D56,C56)</f>
        <v>41.28545306120395</v>
      </c>
      <c r="D57" s="4">
        <f>(B57+C57)/2</f>
        <v>41.285453061199235</v>
      </c>
      <c r="E57" s="4">
        <f>D57/$B$4</f>
        <v>0.20642726530599617</v>
      </c>
      <c r="F57" s="4">
        <f>(2/3)*$B$10*$B$9*SQRT(2*$B$11)*(E57^1.5-MAX(E57-$B$9,0)^1.5)</f>
        <v>0.0071515646266953605</v>
      </c>
      <c r="G57" s="4">
        <f>D57+$B$8*F57-($B$6+$B$7)</f>
        <v>9.237055564881302e-14</v>
      </c>
    </row>
    <row r="58" spans="1:7">
      <c r="A58">
        <v>44</v>
      </c>
      <c r="B58" s="4">
        <f>IF(G57&gt;0,B57,D57)</f>
        <v>41.28545306119452</v>
      </c>
      <c r="C58" s="4">
        <f>IF(G57&gt;0,D57,C57)</f>
        <v>41.285453061199235</v>
      </c>
      <c r="D58" s="4">
        <f>(B58+C58)/2</f>
        <v>41.285453061196876</v>
      </c>
      <c r="E58" s="4">
        <f>D58/$B$4</f>
        <v>0.20642726530598438</v>
      </c>
      <c r="F58" s="4">
        <f>(2/3)*$B$10*$B$9*SQRT(2*$B$11)*(E58^1.5-MAX(E58-$B$9,0)^1.5)</f>
        <v>0.007151564626695105</v>
      </c>
      <c r="G58" s="4">
        <f>D58+$B$8*F58-($B$6+$B$7)</f>
        <v>-2.2737367544323206e-12</v>
      </c>
    </row>
    <row r="59" spans="1:7">
      <c r="A59">
        <v>45</v>
      </c>
      <c r="B59" s="4">
        <f>IF(G58&gt;0,B58,D58)</f>
        <v>41.285453061196876</v>
      </c>
      <c r="C59" s="4">
        <f>IF(G58&gt;0,D58,C58)</f>
        <v>41.285453061199235</v>
      </c>
      <c r="D59" s="4">
        <f>(B59+C59)/2</f>
        <v>41.285453061198055</v>
      </c>
      <c r="E59" s="4">
        <f>D59/$B$4</f>
        <v>0.2064272653059903</v>
      </c>
      <c r="F59" s="4">
        <f>(2/3)*$B$10*$B$9*SQRT(2*$B$11)*(E59^1.5-MAX(E59-$B$9,0)^1.5)</f>
        <v>0.007151564626695233</v>
      </c>
      <c r="G59" s="4">
        <f>D59+$B$8*F59-($B$6+$B$7)</f>
        <v>-1.0871303857129533e-12</v>
      </c>
    </row>
  </sheetData>
  <mergeCells count="2">
    <mergeCell ref="A1:J1"/>
    <mergeCell ref="A2:J2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22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39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</row>
    <row r="2" spans="1:39" ht="32" customHeight="1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</row>
    <row r="4" spans="1:39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80</v>
      </c>
      <c r="G4" s="5" t="s">
        <v>81</v>
      </c>
      <c r="H4" s="5" t="s">
        <v>82</v>
      </c>
      <c r="I4" s="5" t="s">
        <v>83</v>
      </c>
      <c r="J4" s="5" t="s">
        <v>84</v>
      </c>
      <c r="K4" s="5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90</v>
      </c>
      <c r="Q4" s="5" t="s">
        <v>91</v>
      </c>
      <c r="R4" s="5" t="s">
        <v>92</v>
      </c>
      <c r="S4" s="5" t="s">
        <v>93</v>
      </c>
      <c r="T4" s="5" t="s">
        <v>94</v>
      </c>
      <c r="U4" s="5" t="s">
        <v>95</v>
      </c>
      <c r="V4" s="5" t="s">
        <v>96</v>
      </c>
      <c r="W4" s="5" t="s">
        <v>97</v>
      </c>
      <c r="X4" s="5" t="s">
        <v>98</v>
      </c>
      <c r="Y4" s="5" t="s">
        <v>99</v>
      </c>
      <c r="Z4" s="5" t="s">
        <v>100</v>
      </c>
      <c r="AA4" s="5" t="s">
        <v>101</v>
      </c>
      <c r="AB4" s="5" t="s">
        <v>102</v>
      </c>
      <c r="AC4" s="5" t="s">
        <v>103</v>
      </c>
      <c r="AD4" s="5" t="s">
        <v>104</v>
      </c>
      <c r="AE4" s="5" t="s">
        <v>105</v>
      </c>
      <c r="AF4" s="5" t="s">
        <v>106</v>
      </c>
      <c r="AG4" s="5" t="s">
        <v>107</v>
      </c>
      <c r="AH4" s="5" t="s">
        <v>108</v>
      </c>
      <c r="AI4" s="5" t="s">
        <v>109</v>
      </c>
      <c r="AJ4" s="5" t="s">
        <v>110</v>
      </c>
      <c r="AK4" s="5" t="s">
        <v>111</v>
      </c>
      <c r="AL4" s="5" t="s">
        <v>112</v>
      </c>
      <c r="AM4" s="5" t="s">
        <v>113</v>
      </c>
    </row>
    <row r="5" spans="1:39">
      <c r="A5" t="s">
        <v>114</v>
      </c>
      <c r="B5">
        <v>25</v>
      </c>
      <c r="C5" t="s">
        <v>115</v>
      </c>
      <c r="D5">
        <v>1.875</v>
      </c>
      <c r="E5">
        <v>60</v>
      </c>
      <c r="F5">
        <v>98</v>
      </c>
      <c r="G5">
        <v>10</v>
      </c>
      <c r="H5">
        <v>0.62</v>
      </c>
      <c r="I5">
        <v>25</v>
      </c>
      <c r="J5">
        <v>78.80595469107676</v>
      </c>
      <c r="K5">
        <v>5</v>
      </c>
      <c r="L5">
        <v>83.80595469107676</v>
      </c>
      <c r="M5">
        <v>-1.4210854715202E-14</v>
      </c>
      <c r="N5">
        <v>1.4210854715202E-14</v>
      </c>
      <c r="O5">
        <v>1.834375</v>
      </c>
      <c r="P5">
        <v>0.0277655265090623</v>
      </c>
      <c r="Q5">
        <v>59.984375</v>
      </c>
      <c r="R5" t="s">
        <v>116</v>
      </c>
      <c r="S5">
        <v>0.15</v>
      </c>
      <c r="T5">
        <v>30</v>
      </c>
      <c r="U5">
        <v>40</v>
      </c>
      <c r="V5">
        <v>0.0277655265090629</v>
      </c>
      <c r="W5">
        <v>-2.309263891220326E-12</v>
      </c>
      <c r="X5">
        <v>59.984375</v>
      </c>
      <c r="Y5">
        <v>30</v>
      </c>
      <c r="Z5">
        <v>0.15</v>
      </c>
      <c r="AA5">
        <v>47.69435309051914</v>
      </c>
      <c r="AB5">
        <v>40.28125</v>
      </c>
      <c r="AC5">
        <v>35.98570107432024</v>
      </c>
      <c r="AD5">
        <v>83.68005416483938</v>
      </c>
      <c r="AE5">
        <v>0.1259005262379066</v>
      </c>
      <c r="AF5">
        <v>37.69915746545261</v>
      </c>
      <c r="AG5">
        <v>-5.190847751634919E-13</v>
      </c>
      <c r="AH5">
        <v>6.193888931603109E-15</v>
      </c>
      <c r="AI5" t="b">
        <v>0</v>
      </c>
      <c r="AJ5" t="b">
        <v>0</v>
      </c>
      <c r="AK5" t="b">
        <v>0</v>
      </c>
      <c r="AL5">
        <v>1.045236333971843</v>
      </c>
      <c r="AM5" t="b">
        <v>0</v>
      </c>
    </row>
    <row r="6" spans="1:39">
      <c r="A6" t="s">
        <v>114</v>
      </c>
      <c r="B6">
        <v>25</v>
      </c>
      <c r="C6" t="s">
        <v>115</v>
      </c>
      <c r="D6">
        <v>1.875</v>
      </c>
      <c r="E6">
        <v>30</v>
      </c>
      <c r="F6">
        <v>98</v>
      </c>
      <c r="G6">
        <v>10</v>
      </c>
      <c r="H6">
        <v>0.62</v>
      </c>
      <c r="I6">
        <v>25</v>
      </c>
      <c r="J6">
        <v>78.80595469107676</v>
      </c>
      <c r="K6">
        <v>5</v>
      </c>
      <c r="L6">
        <v>83.80595469107676</v>
      </c>
      <c r="M6">
        <v>-1.4210854715202E-14</v>
      </c>
      <c r="N6">
        <v>1.4210854715202E-14</v>
      </c>
      <c r="O6">
        <v>1.834375</v>
      </c>
      <c r="P6">
        <v>0.0277655265090623</v>
      </c>
      <c r="Q6">
        <v>59.984375</v>
      </c>
      <c r="R6" t="s">
        <v>117</v>
      </c>
      <c r="S6">
        <v>0.15</v>
      </c>
      <c r="T6">
        <v>30</v>
      </c>
      <c r="U6">
        <v>60</v>
      </c>
      <c r="V6">
        <v>0.0277655265090629</v>
      </c>
      <c r="W6">
        <v>-2.309263891220326E-12</v>
      </c>
      <c r="X6">
        <v>59.984375</v>
      </c>
      <c r="Y6">
        <v>30</v>
      </c>
      <c r="Z6">
        <v>0.15</v>
      </c>
      <c r="AA6">
        <v>41.84534438834022</v>
      </c>
      <c r="AB6">
        <v>41.1875</v>
      </c>
      <c r="AC6">
        <v>41.74370559672542</v>
      </c>
      <c r="AD6">
        <v>83.58904998506566</v>
      </c>
      <c r="AE6">
        <v>0.2169047060100164</v>
      </c>
      <c r="AF6">
        <v>24.40129870430086</v>
      </c>
      <c r="AG6">
        <v>1.090433299211213E-12</v>
      </c>
      <c r="AH6">
        <v>1.301140597026475E-14</v>
      </c>
      <c r="AI6" t="b">
        <v>0</v>
      </c>
      <c r="AJ6" t="b">
        <v>0</v>
      </c>
      <c r="AK6" t="b">
        <v>0</v>
      </c>
      <c r="AL6">
        <v>0.3523490000516176</v>
      </c>
      <c r="AM6" t="b">
        <v>0</v>
      </c>
    </row>
    <row r="7" spans="1:39">
      <c r="A7" t="s">
        <v>114</v>
      </c>
      <c r="B7">
        <v>25</v>
      </c>
      <c r="C7" t="s">
        <v>115</v>
      </c>
      <c r="D7">
        <v>1.875</v>
      </c>
      <c r="E7">
        <v>30</v>
      </c>
      <c r="F7">
        <v>98</v>
      </c>
      <c r="G7">
        <v>10</v>
      </c>
      <c r="H7">
        <v>0.62</v>
      </c>
      <c r="I7">
        <v>25</v>
      </c>
      <c r="J7">
        <v>78.80595469107676</v>
      </c>
      <c r="K7">
        <v>5</v>
      </c>
      <c r="L7">
        <v>83.80595469107676</v>
      </c>
      <c r="M7">
        <v>-1.4210854715202E-14</v>
      </c>
      <c r="N7">
        <v>1.4210854715202E-14</v>
      </c>
      <c r="O7">
        <v>1.834375</v>
      </c>
      <c r="P7">
        <v>0.0277655265090623</v>
      </c>
      <c r="Q7">
        <v>59.984375</v>
      </c>
      <c r="R7" t="s">
        <v>118</v>
      </c>
      <c r="S7">
        <v>0.15</v>
      </c>
      <c r="T7">
        <v>30</v>
      </c>
      <c r="U7">
        <v>80</v>
      </c>
      <c r="V7">
        <v>0.0277655265090629</v>
      </c>
      <c r="W7">
        <v>-2.309263891220326E-12</v>
      </c>
      <c r="X7">
        <v>59.984375</v>
      </c>
      <c r="Y7">
        <v>30</v>
      </c>
      <c r="Z7">
        <v>0.15</v>
      </c>
      <c r="AA7">
        <v>35.11505983211043</v>
      </c>
      <c r="AB7">
        <v>42.375</v>
      </c>
      <c r="AC7">
        <v>48.56670644288364</v>
      </c>
      <c r="AD7">
        <v>83.68176627499408</v>
      </c>
      <c r="AE7">
        <v>0.1241884160437456</v>
      </c>
      <c r="AF7">
        <v>18.14166173910982</v>
      </c>
      <c r="AG7">
        <v>3.894282118999115E-11</v>
      </c>
      <c r="AH7">
        <v>4.646784507561679E-13</v>
      </c>
      <c r="AI7" t="b">
        <v>0</v>
      </c>
      <c r="AJ7" t="b">
        <v>0</v>
      </c>
      <c r="AK7" t="b">
        <v>1</v>
      </c>
      <c r="AL7">
        <v>0.3500542920082807</v>
      </c>
      <c r="AM7" t="b">
        <v>0</v>
      </c>
    </row>
    <row r="8" spans="1:39">
      <c r="A8" t="s">
        <v>114</v>
      </c>
      <c r="B8">
        <v>25</v>
      </c>
      <c r="C8" t="s">
        <v>115</v>
      </c>
      <c r="D8">
        <v>1.875</v>
      </c>
      <c r="E8">
        <v>30</v>
      </c>
      <c r="F8">
        <v>98</v>
      </c>
      <c r="G8">
        <v>10</v>
      </c>
      <c r="H8">
        <v>0.62</v>
      </c>
      <c r="I8">
        <v>25</v>
      </c>
      <c r="J8">
        <v>78.80595469107676</v>
      </c>
      <c r="K8">
        <v>5</v>
      </c>
      <c r="L8">
        <v>83.80595469107676</v>
      </c>
      <c r="M8">
        <v>-1.4210854715202E-14</v>
      </c>
      <c r="N8">
        <v>1.4210854715202E-14</v>
      </c>
      <c r="O8">
        <v>1.834375</v>
      </c>
      <c r="P8">
        <v>0.0277655265090623</v>
      </c>
      <c r="Q8">
        <v>59.984375</v>
      </c>
      <c r="R8" t="s">
        <v>119</v>
      </c>
      <c r="S8">
        <v>0.15</v>
      </c>
      <c r="T8">
        <v>30</v>
      </c>
      <c r="U8">
        <v>100</v>
      </c>
      <c r="V8">
        <v>0.0277655265090629</v>
      </c>
      <c r="W8">
        <v>-2.309263891220326E-12</v>
      </c>
      <c r="X8">
        <v>59.984375</v>
      </c>
      <c r="Y8">
        <v>30</v>
      </c>
      <c r="Z8">
        <v>0.15</v>
      </c>
      <c r="AA8">
        <v>28.06286759570393</v>
      </c>
      <c r="AB8">
        <v>43.8125</v>
      </c>
      <c r="AC8">
        <v>55.66222151114352</v>
      </c>
      <c r="AD8">
        <v>83.72508910684746</v>
      </c>
      <c r="AE8">
        <v>0.0808655840513232</v>
      </c>
      <c r="AF8">
        <v>14.48526333518456</v>
      </c>
      <c r="AG8">
        <v>1.779916075639321E-10</v>
      </c>
      <c r="AH8">
        <v>2.123853945940237E-12</v>
      </c>
      <c r="AI8" t="b">
        <v>0</v>
      </c>
      <c r="AJ8" t="b">
        <v>0</v>
      </c>
      <c r="AK8" t="b">
        <v>1</v>
      </c>
      <c r="AL8">
        <v>0.3487587500130757</v>
      </c>
      <c r="AM8" t="b">
        <v>0</v>
      </c>
    </row>
    <row r="9" spans="1:39">
      <c r="A9" t="s">
        <v>114</v>
      </c>
      <c r="B9">
        <v>25</v>
      </c>
      <c r="C9" t="s">
        <v>115</v>
      </c>
      <c r="D9">
        <v>1.875</v>
      </c>
      <c r="E9">
        <v>60</v>
      </c>
      <c r="F9">
        <v>98</v>
      </c>
      <c r="G9">
        <v>10</v>
      </c>
      <c r="H9">
        <v>0.62</v>
      </c>
      <c r="I9">
        <v>25</v>
      </c>
      <c r="J9">
        <v>78.80595469107676</v>
      </c>
      <c r="K9">
        <v>5</v>
      </c>
      <c r="L9">
        <v>83.80595469107676</v>
      </c>
      <c r="M9">
        <v>-1.4210854715202E-14</v>
      </c>
      <c r="N9">
        <v>1.4210854715202E-14</v>
      </c>
      <c r="O9">
        <v>1.834375</v>
      </c>
      <c r="P9">
        <v>0.0277655265090623</v>
      </c>
      <c r="Q9">
        <v>59.984375</v>
      </c>
      <c r="R9" t="s">
        <v>120</v>
      </c>
      <c r="S9">
        <v>0.3</v>
      </c>
      <c r="T9">
        <v>60</v>
      </c>
      <c r="U9">
        <v>40</v>
      </c>
      <c r="V9">
        <v>0.0263986861141196</v>
      </c>
      <c r="W9">
        <v>4.922796599936985</v>
      </c>
      <c r="X9">
        <v>60.828125</v>
      </c>
      <c r="Y9">
        <v>60</v>
      </c>
      <c r="Z9">
        <v>0.3</v>
      </c>
      <c r="AA9">
        <v>16.18994088832388</v>
      </c>
      <c r="AB9">
        <v>60.34375</v>
      </c>
      <c r="AC9">
        <v>67.47047043370885</v>
      </c>
      <c r="AD9">
        <v>83.66041132203274</v>
      </c>
      <c r="AE9">
        <v>0.145543369047302</v>
      </c>
      <c r="AF9">
        <v>30.45230455765251</v>
      </c>
      <c r="AG9">
        <v>-3.267663917227992E-12</v>
      </c>
      <c r="AH9">
        <v>3.899083220605464E-14</v>
      </c>
      <c r="AI9" t="b">
        <v>0</v>
      </c>
      <c r="AJ9" t="b">
        <v>0</v>
      </c>
      <c r="AK9" t="b">
        <v>0</v>
      </c>
      <c r="AL9">
        <v>1.05173016700428</v>
      </c>
      <c r="AM9" t="b">
        <v>0</v>
      </c>
    </row>
    <row r="10" spans="1:39">
      <c r="A10" t="s">
        <v>114</v>
      </c>
      <c r="B10">
        <v>25</v>
      </c>
      <c r="C10" t="s">
        <v>115</v>
      </c>
      <c r="D10">
        <v>1.875</v>
      </c>
      <c r="E10">
        <v>30</v>
      </c>
      <c r="F10">
        <v>98</v>
      </c>
      <c r="G10">
        <v>10</v>
      </c>
      <c r="H10">
        <v>0.62</v>
      </c>
      <c r="I10">
        <v>25</v>
      </c>
      <c r="J10">
        <v>78.80595469107676</v>
      </c>
      <c r="K10">
        <v>5</v>
      </c>
      <c r="L10">
        <v>83.80595469107676</v>
      </c>
      <c r="M10">
        <v>-1.4210854715202E-14</v>
      </c>
      <c r="N10">
        <v>1.4210854715202E-14</v>
      </c>
      <c r="O10">
        <v>1.834375</v>
      </c>
      <c r="P10">
        <v>0.0277655265090623</v>
      </c>
      <c r="Q10">
        <v>59.984375</v>
      </c>
      <c r="R10" t="s">
        <v>121</v>
      </c>
      <c r="S10">
        <v>0.3</v>
      </c>
      <c r="T10">
        <v>60</v>
      </c>
      <c r="U10">
        <v>60</v>
      </c>
      <c r="V10">
        <v>0.0258859413641933</v>
      </c>
      <c r="W10">
        <v>6.769492176766356</v>
      </c>
      <c r="X10">
        <v>63.453125</v>
      </c>
      <c r="Y10">
        <v>60</v>
      </c>
      <c r="Z10">
        <v>0.3</v>
      </c>
      <c r="AA10">
        <v>9.031297310737031</v>
      </c>
      <c r="AB10">
        <v>63.40625</v>
      </c>
      <c r="AC10">
        <v>74.52806111278257</v>
      </c>
      <c r="AD10">
        <v>83.55935842351961</v>
      </c>
      <c r="AE10">
        <v>0.2465962675777869</v>
      </c>
      <c r="AF10">
        <v>18.65918352314202</v>
      </c>
      <c r="AG10">
        <v>-2.062092163690465E-11</v>
      </c>
      <c r="AH10">
        <v>2.460555662532207E-13</v>
      </c>
      <c r="AI10" t="b">
        <v>0</v>
      </c>
      <c r="AJ10" t="b">
        <v>0</v>
      </c>
      <c r="AK10" t="b">
        <v>1</v>
      </c>
      <c r="AL10">
        <v>0.3628522499930113</v>
      </c>
      <c r="AM10" t="b">
        <v>0</v>
      </c>
    </row>
    <row r="11" spans="1:39">
      <c r="A11" t="s">
        <v>114</v>
      </c>
      <c r="B11">
        <v>25</v>
      </c>
      <c r="C11" t="s">
        <v>115</v>
      </c>
      <c r="D11">
        <v>1.875</v>
      </c>
      <c r="E11">
        <v>30</v>
      </c>
      <c r="F11">
        <v>98</v>
      </c>
      <c r="G11">
        <v>10</v>
      </c>
      <c r="H11">
        <v>0.62</v>
      </c>
      <c r="I11">
        <v>25</v>
      </c>
      <c r="J11">
        <v>78.80595469107676</v>
      </c>
      <c r="K11">
        <v>5</v>
      </c>
      <c r="L11">
        <v>83.80595469107676</v>
      </c>
      <c r="M11">
        <v>-1.4210854715202E-14</v>
      </c>
      <c r="N11">
        <v>1.4210854715202E-14</v>
      </c>
      <c r="O11">
        <v>1.834375</v>
      </c>
      <c r="P11">
        <v>0.0277655265090623</v>
      </c>
      <c r="Q11">
        <v>59.984375</v>
      </c>
      <c r="R11" t="s">
        <v>122</v>
      </c>
      <c r="S11">
        <v>0.3</v>
      </c>
      <c r="T11">
        <v>60</v>
      </c>
      <c r="U11">
        <v>80</v>
      </c>
      <c r="V11">
        <v>0.0171556904557822</v>
      </c>
      <c r="W11">
        <v>38.21226314515287</v>
      </c>
      <c r="X11">
        <v>69.765625</v>
      </c>
      <c r="Y11">
        <v>60</v>
      </c>
      <c r="Z11">
        <v>0.3</v>
      </c>
      <c r="AA11">
        <v>1.069856106611769</v>
      </c>
      <c r="AB11">
        <v>69.71875</v>
      </c>
      <c r="AC11">
        <v>82.60255706437864</v>
      </c>
      <c r="AD11">
        <v>83.67241317099041</v>
      </c>
      <c r="AE11">
        <v>0.1335415201423682</v>
      </c>
      <c r="AF11">
        <v>13.48913214697571</v>
      </c>
      <c r="AG11">
        <v>-5.601460961734972E-11</v>
      </c>
      <c r="AH11">
        <v>6.683846013547518E-13</v>
      </c>
      <c r="AI11" t="b">
        <v>0</v>
      </c>
      <c r="AJ11" t="b">
        <v>0</v>
      </c>
      <c r="AK11" t="b">
        <v>1</v>
      </c>
      <c r="AL11">
        <v>0.3565218340372666</v>
      </c>
      <c r="AM11" t="b">
        <v>0</v>
      </c>
    </row>
    <row r="12" spans="1:39">
      <c r="A12" t="s">
        <v>114</v>
      </c>
      <c r="B12">
        <v>25</v>
      </c>
      <c r="C12" t="s">
        <v>115</v>
      </c>
      <c r="D12">
        <v>1.875</v>
      </c>
      <c r="E12">
        <v>30</v>
      </c>
      <c r="F12">
        <v>98</v>
      </c>
      <c r="G12">
        <v>10</v>
      </c>
      <c r="H12">
        <v>0.62</v>
      </c>
      <c r="I12">
        <v>25</v>
      </c>
      <c r="J12">
        <v>78.80595469107676</v>
      </c>
      <c r="K12">
        <v>5</v>
      </c>
      <c r="L12">
        <v>83.80595469107676</v>
      </c>
      <c r="M12">
        <v>-1.4210854715202E-14</v>
      </c>
      <c r="N12">
        <v>1.4210854715202E-14</v>
      </c>
      <c r="O12">
        <v>1.834375</v>
      </c>
      <c r="P12">
        <v>0.0277655265090623</v>
      </c>
      <c r="Q12">
        <v>59.984375</v>
      </c>
      <c r="R12" t="s">
        <v>123</v>
      </c>
      <c r="S12">
        <v>0.3</v>
      </c>
      <c r="T12">
        <v>60</v>
      </c>
      <c r="U12">
        <v>100</v>
      </c>
      <c r="V12">
        <v>0.0127662876896466</v>
      </c>
      <c r="W12">
        <v>54.0210855159547</v>
      </c>
      <c r="X12">
        <v>72.015625</v>
      </c>
      <c r="Y12">
        <v>53.42759891945759</v>
      </c>
      <c r="Z12">
        <v>0.2671379945972879</v>
      </c>
      <c r="AA12">
        <v>0</v>
      </c>
      <c r="AC12">
        <v>83.7219577608553</v>
      </c>
      <c r="AD12">
        <v>83.7219577608553</v>
      </c>
      <c r="AE12">
        <v>0.0839969302237321</v>
      </c>
      <c r="AF12">
        <v>10.46267399300321</v>
      </c>
      <c r="AG12">
        <v>-2.272293464500308E-12</v>
      </c>
      <c r="AH12">
        <v>2.711374714214968E-14</v>
      </c>
      <c r="AI12" t="b">
        <v>1</v>
      </c>
      <c r="AJ12" t="b">
        <v>1</v>
      </c>
      <c r="AK12" t="b">
        <v>1</v>
      </c>
      <c r="AL12">
        <v>0.3611722500063479</v>
      </c>
      <c r="AM12" t="b">
        <v>1</v>
      </c>
    </row>
    <row r="13" spans="1:39">
      <c r="A13" t="s">
        <v>114</v>
      </c>
      <c r="B13">
        <v>25</v>
      </c>
      <c r="C13" t="s">
        <v>115</v>
      </c>
      <c r="D13">
        <v>1.875</v>
      </c>
      <c r="E13">
        <v>30</v>
      </c>
      <c r="F13">
        <v>98</v>
      </c>
      <c r="G13">
        <v>10</v>
      </c>
      <c r="H13">
        <v>0.62</v>
      </c>
      <c r="I13">
        <v>25</v>
      </c>
      <c r="J13">
        <v>78.80595469107676</v>
      </c>
      <c r="K13">
        <v>5</v>
      </c>
      <c r="L13">
        <v>83.80595469107676</v>
      </c>
      <c r="M13">
        <v>-1.4210854715202E-14</v>
      </c>
      <c r="N13">
        <v>1.4210854715202E-14</v>
      </c>
      <c r="O13">
        <v>1.834375</v>
      </c>
      <c r="P13">
        <v>0.0277655265090623</v>
      </c>
      <c r="Q13">
        <v>59.984375</v>
      </c>
      <c r="R13" t="s">
        <v>124</v>
      </c>
      <c r="S13">
        <v>0.45</v>
      </c>
      <c r="T13">
        <v>90</v>
      </c>
      <c r="U13">
        <v>40</v>
      </c>
      <c r="V13">
        <v>0.0026338247575395</v>
      </c>
      <c r="W13">
        <v>90.51404713438484</v>
      </c>
      <c r="X13">
        <v>81.703125</v>
      </c>
      <c r="Y13">
        <v>75.9021388238225</v>
      </c>
      <c r="Z13">
        <v>0.3795106941191125</v>
      </c>
      <c r="AA13">
        <v>0</v>
      </c>
      <c r="AC13">
        <v>83.03764452806722</v>
      </c>
      <c r="AD13">
        <v>83.03764452806722</v>
      </c>
      <c r="AE13">
        <v>0.768310163011895</v>
      </c>
      <c r="AF13">
        <v>27.13791495098556</v>
      </c>
      <c r="AG13">
        <v>-2.350009076224069E-12</v>
      </c>
      <c r="AH13">
        <v>2.804107518238541E-14</v>
      </c>
      <c r="AI13" t="b">
        <v>1</v>
      </c>
      <c r="AJ13" t="b">
        <v>1</v>
      </c>
      <c r="AK13" t="b">
        <v>0</v>
      </c>
      <c r="AL13">
        <v>0.3505057920701802</v>
      </c>
      <c r="AM13" t="b">
        <v>0</v>
      </c>
    </row>
    <row r="14" spans="1:39">
      <c r="A14" t="s">
        <v>114</v>
      </c>
      <c r="B14">
        <v>25</v>
      </c>
      <c r="C14" t="s">
        <v>115</v>
      </c>
      <c r="D14">
        <v>1.875</v>
      </c>
      <c r="E14">
        <v>30</v>
      </c>
      <c r="F14">
        <v>98</v>
      </c>
      <c r="G14">
        <v>10</v>
      </c>
      <c r="H14">
        <v>0.62</v>
      </c>
      <c r="I14">
        <v>25</v>
      </c>
      <c r="J14">
        <v>78.80595469107676</v>
      </c>
      <c r="K14">
        <v>5</v>
      </c>
      <c r="L14">
        <v>83.80595469107676</v>
      </c>
      <c r="M14">
        <v>-1.4210854715202E-14</v>
      </c>
      <c r="N14">
        <v>1.4210854715202E-14</v>
      </c>
      <c r="O14">
        <v>1.834375</v>
      </c>
      <c r="P14">
        <v>0.0277655265090623</v>
      </c>
      <c r="Q14">
        <v>59.984375</v>
      </c>
      <c r="R14" t="s">
        <v>125</v>
      </c>
      <c r="S14">
        <v>0.45</v>
      </c>
      <c r="T14">
        <v>90</v>
      </c>
      <c r="U14">
        <v>60</v>
      </c>
      <c r="V14">
        <v>0.005536806901688</v>
      </c>
      <c r="W14">
        <v>80.05870012988609</v>
      </c>
      <c r="X14">
        <v>77.109375</v>
      </c>
      <c r="Y14">
        <v>68.79726328012531</v>
      </c>
      <c r="Z14">
        <v>0.3439863164006265</v>
      </c>
      <c r="AA14">
        <v>0</v>
      </c>
      <c r="AC14">
        <v>83.55146301758258</v>
      </c>
      <c r="AD14">
        <v>83.55146301758258</v>
      </c>
      <c r="AE14">
        <v>0.254491673521629</v>
      </c>
      <c r="AF14">
        <v>15.72014051761768</v>
      </c>
      <c r="AG14">
        <v>-2.744254823383585E-11</v>
      </c>
      <c r="AH14">
        <v>3.274534409278413E-13</v>
      </c>
      <c r="AI14" t="b">
        <v>1</v>
      </c>
      <c r="AJ14" t="b">
        <v>1</v>
      </c>
      <c r="AK14" t="b">
        <v>1</v>
      </c>
      <c r="AL14">
        <v>0.3649456250714138</v>
      </c>
      <c r="AM14" t="b">
        <v>1</v>
      </c>
    </row>
    <row r="15" spans="1:39">
      <c r="A15" t="s">
        <v>114</v>
      </c>
      <c r="B15">
        <v>25</v>
      </c>
      <c r="C15" t="s">
        <v>115</v>
      </c>
      <c r="D15">
        <v>1.875</v>
      </c>
      <c r="E15">
        <v>30</v>
      </c>
      <c r="F15">
        <v>98</v>
      </c>
      <c r="G15">
        <v>10</v>
      </c>
      <c r="H15">
        <v>0.62</v>
      </c>
      <c r="I15">
        <v>25</v>
      </c>
      <c r="J15">
        <v>78.80595469107676</v>
      </c>
      <c r="K15">
        <v>5</v>
      </c>
      <c r="L15">
        <v>83.80595469107676</v>
      </c>
      <c r="M15">
        <v>-1.4210854715202E-14</v>
      </c>
      <c r="N15">
        <v>1.4210854715202E-14</v>
      </c>
      <c r="O15">
        <v>1.834375</v>
      </c>
      <c r="P15">
        <v>0.0277655265090623</v>
      </c>
      <c r="Q15">
        <v>59.984375</v>
      </c>
      <c r="R15" t="s">
        <v>126</v>
      </c>
      <c r="S15">
        <v>0.45</v>
      </c>
      <c r="T15">
        <v>90</v>
      </c>
      <c r="U15">
        <v>80</v>
      </c>
      <c r="V15">
        <v>0.0090421998970948</v>
      </c>
      <c r="W15">
        <v>67.43371715229812</v>
      </c>
      <c r="X15">
        <v>74.203125</v>
      </c>
      <c r="Y15">
        <v>61.05313638202301</v>
      </c>
      <c r="Z15">
        <v>0.305265681910115</v>
      </c>
      <c r="AA15">
        <v>0</v>
      </c>
      <c r="AC15">
        <v>83.67212618896377</v>
      </c>
      <c r="AD15">
        <v>83.67212618896377</v>
      </c>
      <c r="AE15">
        <v>0.1338285021790524</v>
      </c>
      <c r="AF15">
        <v>10.97847601478955</v>
      </c>
      <c r="AG15">
        <v>-6.606190594560246E-11</v>
      </c>
      <c r="AH15">
        <v>7.882722199051137E-13</v>
      </c>
      <c r="AI15" t="b">
        <v>1</v>
      </c>
      <c r="AJ15" t="b">
        <v>1</v>
      </c>
      <c r="AK15" t="b">
        <v>1</v>
      </c>
      <c r="AL15">
        <v>0.3661664160899818</v>
      </c>
      <c r="AM15" t="b">
        <v>1</v>
      </c>
    </row>
    <row r="16" spans="1:39">
      <c r="A16" t="s">
        <v>114</v>
      </c>
      <c r="B16">
        <v>25</v>
      </c>
      <c r="C16" t="s">
        <v>115</v>
      </c>
      <c r="D16">
        <v>1.875</v>
      </c>
      <c r="E16">
        <v>30</v>
      </c>
      <c r="F16">
        <v>98</v>
      </c>
      <c r="G16">
        <v>10</v>
      </c>
      <c r="H16">
        <v>0.62</v>
      </c>
      <c r="I16">
        <v>25</v>
      </c>
      <c r="J16">
        <v>78.80595469107676</v>
      </c>
      <c r="K16">
        <v>5</v>
      </c>
      <c r="L16">
        <v>83.80595469107676</v>
      </c>
      <c r="M16">
        <v>-1.4210854715202E-14</v>
      </c>
      <c r="N16">
        <v>1.4210854715202E-14</v>
      </c>
      <c r="O16">
        <v>1.834375</v>
      </c>
      <c r="P16">
        <v>0.0277655265090623</v>
      </c>
      <c r="Q16">
        <v>59.984375</v>
      </c>
      <c r="R16" t="s">
        <v>127</v>
      </c>
      <c r="S16">
        <v>0.45</v>
      </c>
      <c r="T16">
        <v>90</v>
      </c>
      <c r="U16">
        <v>100</v>
      </c>
      <c r="V16">
        <v>0.0127662876896466</v>
      </c>
      <c r="W16">
        <v>54.0210855159547</v>
      </c>
      <c r="X16">
        <v>72.015625</v>
      </c>
      <c r="Y16">
        <v>53.42759891945759</v>
      </c>
      <c r="Z16">
        <v>0.2671379945972879</v>
      </c>
      <c r="AA16">
        <v>0</v>
      </c>
      <c r="AC16">
        <v>83.7219577608553</v>
      </c>
      <c r="AD16">
        <v>83.7219577608553</v>
      </c>
      <c r="AE16">
        <v>0.0839969302237321</v>
      </c>
      <c r="AF16">
        <v>8.42891690701215</v>
      </c>
      <c r="AG16">
        <v>-2.272293464500308E-12</v>
      </c>
      <c r="AH16">
        <v>2.711374714214968E-14</v>
      </c>
      <c r="AI16" t="b">
        <v>1</v>
      </c>
      <c r="AJ16" t="b">
        <v>1</v>
      </c>
      <c r="AK16" t="b">
        <v>1</v>
      </c>
      <c r="AL16">
        <v>0.3586016249610111</v>
      </c>
      <c r="AM16" t="b">
        <v>1</v>
      </c>
    </row>
    <row r="17" spans="1:39">
      <c r="A17" t="s">
        <v>114</v>
      </c>
      <c r="B17">
        <v>25</v>
      </c>
      <c r="C17" t="s">
        <v>115</v>
      </c>
      <c r="D17">
        <v>1.875</v>
      </c>
      <c r="E17">
        <v>30</v>
      </c>
      <c r="F17">
        <v>98</v>
      </c>
      <c r="G17">
        <v>10</v>
      </c>
      <c r="H17">
        <v>0.62</v>
      </c>
      <c r="I17">
        <v>25</v>
      </c>
      <c r="J17">
        <v>78.80595469107676</v>
      </c>
      <c r="K17">
        <v>5</v>
      </c>
      <c r="L17">
        <v>83.80595469107676</v>
      </c>
      <c r="M17">
        <v>-1.4210854715202E-14</v>
      </c>
      <c r="N17">
        <v>1.4210854715202E-14</v>
      </c>
      <c r="O17">
        <v>1.834375</v>
      </c>
      <c r="P17">
        <v>0.0277655265090623</v>
      </c>
      <c r="Q17">
        <v>59.984375</v>
      </c>
      <c r="R17" t="s">
        <v>128</v>
      </c>
      <c r="S17">
        <v>0.6</v>
      </c>
      <c r="T17">
        <v>120</v>
      </c>
      <c r="U17">
        <v>40</v>
      </c>
      <c r="V17">
        <v>0.0026338247575395</v>
      </c>
      <c r="W17">
        <v>90.51404713438484</v>
      </c>
      <c r="X17">
        <v>81.703125</v>
      </c>
      <c r="Y17">
        <v>75.9021388238225</v>
      </c>
      <c r="Z17">
        <v>0.3795106941191125</v>
      </c>
      <c r="AA17">
        <v>0</v>
      </c>
      <c r="AC17">
        <v>83.03764452806722</v>
      </c>
      <c r="AD17">
        <v>83.03764452806722</v>
      </c>
      <c r="AE17">
        <v>0.768310163011895</v>
      </c>
      <c r="AF17">
        <v>24.10713758134334</v>
      </c>
      <c r="AG17">
        <v>-2.350009076224069E-12</v>
      </c>
      <c r="AH17">
        <v>2.804107518238541E-14</v>
      </c>
      <c r="AI17" t="b">
        <v>1</v>
      </c>
      <c r="AJ17" t="b">
        <v>1</v>
      </c>
      <c r="AK17" t="b">
        <v>0</v>
      </c>
      <c r="AL17">
        <v>0.3538284170208499</v>
      </c>
      <c r="AM17" t="b">
        <v>0</v>
      </c>
    </row>
    <row r="18" spans="1:39">
      <c r="A18" t="s">
        <v>114</v>
      </c>
      <c r="B18">
        <v>25</v>
      </c>
      <c r="C18" t="s">
        <v>115</v>
      </c>
      <c r="D18">
        <v>1.875</v>
      </c>
      <c r="E18">
        <v>30</v>
      </c>
      <c r="F18">
        <v>98</v>
      </c>
      <c r="G18">
        <v>10</v>
      </c>
      <c r="H18">
        <v>0.62</v>
      </c>
      <c r="I18">
        <v>25</v>
      </c>
      <c r="J18">
        <v>78.80595469107676</v>
      </c>
      <c r="K18">
        <v>5</v>
      </c>
      <c r="L18">
        <v>83.80595469107676</v>
      </c>
      <c r="M18">
        <v>-1.4210854715202E-14</v>
      </c>
      <c r="N18">
        <v>1.4210854715202E-14</v>
      </c>
      <c r="O18">
        <v>1.834375</v>
      </c>
      <c r="P18">
        <v>0.0277655265090623</v>
      </c>
      <c r="Q18">
        <v>59.984375</v>
      </c>
      <c r="R18" t="s">
        <v>129</v>
      </c>
      <c r="S18">
        <v>0.6</v>
      </c>
      <c r="T18">
        <v>120</v>
      </c>
      <c r="U18">
        <v>60</v>
      </c>
      <c r="V18">
        <v>0.005536806901688</v>
      </c>
      <c r="W18">
        <v>80.05870012988609</v>
      </c>
      <c r="X18">
        <v>77.109375</v>
      </c>
      <c r="Y18">
        <v>68.79726328012531</v>
      </c>
      <c r="Z18">
        <v>0.3439863164006265</v>
      </c>
      <c r="AA18">
        <v>0</v>
      </c>
      <c r="AC18">
        <v>83.55146301758258</v>
      </c>
      <c r="AD18">
        <v>83.55146301758258</v>
      </c>
      <c r="AE18">
        <v>0.254491673521629</v>
      </c>
      <c r="AF18">
        <v>13.69958481225992</v>
      </c>
      <c r="AG18">
        <v>-2.744254823383585E-11</v>
      </c>
      <c r="AH18">
        <v>3.274534409278413E-13</v>
      </c>
      <c r="AI18" t="b">
        <v>1</v>
      </c>
      <c r="AJ18" t="b">
        <v>1</v>
      </c>
      <c r="AK18" t="b">
        <v>1</v>
      </c>
      <c r="AL18">
        <v>0.3543637919938192</v>
      </c>
      <c r="AM18" t="b">
        <v>1</v>
      </c>
    </row>
    <row r="19" spans="1:39">
      <c r="A19" t="s">
        <v>114</v>
      </c>
      <c r="B19">
        <v>25</v>
      </c>
      <c r="C19" t="s">
        <v>115</v>
      </c>
      <c r="D19">
        <v>1.875</v>
      </c>
      <c r="E19">
        <v>30</v>
      </c>
      <c r="F19">
        <v>98</v>
      </c>
      <c r="G19">
        <v>10</v>
      </c>
      <c r="H19">
        <v>0.62</v>
      </c>
      <c r="I19">
        <v>25</v>
      </c>
      <c r="J19">
        <v>78.80595469107676</v>
      </c>
      <c r="K19">
        <v>5</v>
      </c>
      <c r="L19">
        <v>83.80595469107676</v>
      </c>
      <c r="M19">
        <v>-1.4210854715202E-14</v>
      </c>
      <c r="N19">
        <v>1.4210854715202E-14</v>
      </c>
      <c r="O19">
        <v>1.834375</v>
      </c>
      <c r="P19">
        <v>0.0277655265090623</v>
      </c>
      <c r="Q19">
        <v>59.984375</v>
      </c>
      <c r="R19" t="s">
        <v>130</v>
      </c>
      <c r="S19">
        <v>0.6</v>
      </c>
      <c r="T19">
        <v>120</v>
      </c>
      <c r="U19">
        <v>80</v>
      </c>
      <c r="V19">
        <v>0.0090421998970948</v>
      </c>
      <c r="W19">
        <v>67.43371715229812</v>
      </c>
      <c r="X19">
        <v>74.203125</v>
      </c>
      <c r="Y19">
        <v>61.05313638202301</v>
      </c>
      <c r="Z19">
        <v>0.305265681910115</v>
      </c>
      <c r="AA19">
        <v>0</v>
      </c>
      <c r="AC19">
        <v>83.67212618896377</v>
      </c>
      <c r="AD19">
        <v>83.67212618896377</v>
      </c>
      <c r="AE19">
        <v>0.1338285021790524</v>
      </c>
      <c r="AF19">
        <v>9.463031137040296</v>
      </c>
      <c r="AG19">
        <v>-6.606190594560246E-11</v>
      </c>
      <c r="AH19">
        <v>7.882722199051137E-13</v>
      </c>
      <c r="AI19" t="b">
        <v>1</v>
      </c>
      <c r="AJ19" t="b">
        <v>1</v>
      </c>
      <c r="AK19" t="b">
        <v>1</v>
      </c>
      <c r="AL19">
        <v>0.3545382500160485</v>
      </c>
      <c r="AM19" t="b">
        <v>1</v>
      </c>
    </row>
    <row r="20" spans="1:39">
      <c r="A20" t="s">
        <v>114</v>
      </c>
      <c r="B20">
        <v>25</v>
      </c>
      <c r="C20" t="s">
        <v>115</v>
      </c>
      <c r="D20">
        <v>1.875</v>
      </c>
      <c r="E20">
        <v>30</v>
      </c>
      <c r="F20">
        <v>98</v>
      </c>
      <c r="G20">
        <v>10</v>
      </c>
      <c r="H20">
        <v>0.62</v>
      </c>
      <c r="I20">
        <v>25</v>
      </c>
      <c r="J20">
        <v>78.80595469107676</v>
      </c>
      <c r="K20">
        <v>5</v>
      </c>
      <c r="L20">
        <v>83.80595469107676</v>
      </c>
      <c r="M20">
        <v>-1.4210854715202E-14</v>
      </c>
      <c r="N20">
        <v>1.4210854715202E-14</v>
      </c>
      <c r="O20">
        <v>1.834375</v>
      </c>
      <c r="P20">
        <v>0.0277655265090623</v>
      </c>
      <c r="Q20">
        <v>59.984375</v>
      </c>
      <c r="R20" t="s">
        <v>131</v>
      </c>
      <c r="S20">
        <v>0.6</v>
      </c>
      <c r="T20">
        <v>120</v>
      </c>
      <c r="U20">
        <v>100</v>
      </c>
      <c r="V20">
        <v>0.0127662876896466</v>
      </c>
      <c r="W20">
        <v>54.0210855159547</v>
      </c>
      <c r="X20">
        <v>72.015625</v>
      </c>
      <c r="Y20">
        <v>53.42759891945759</v>
      </c>
      <c r="Z20">
        <v>0.2671379945972879</v>
      </c>
      <c r="AA20">
        <v>0</v>
      </c>
      <c r="AC20">
        <v>83.7219577608553</v>
      </c>
      <c r="AD20">
        <v>83.7219577608553</v>
      </c>
      <c r="AE20">
        <v>0.0839969302237321</v>
      </c>
      <c r="AF20">
        <v>7.216538535408515</v>
      </c>
      <c r="AG20">
        <v>-2.272293464500308E-12</v>
      </c>
      <c r="AH20">
        <v>2.711374714214968E-14</v>
      </c>
      <c r="AI20" t="b">
        <v>1</v>
      </c>
      <c r="AJ20" t="b">
        <v>1</v>
      </c>
      <c r="AK20" t="b">
        <v>1</v>
      </c>
      <c r="AL20">
        <v>0.362978707998991</v>
      </c>
      <c r="AM20" t="b">
        <v>1</v>
      </c>
    </row>
    <row r="21" spans="1:39">
      <c r="A21" t="s">
        <v>114</v>
      </c>
      <c r="B21">
        <v>25</v>
      </c>
      <c r="C21" t="s">
        <v>115</v>
      </c>
      <c r="D21">
        <v>1.875</v>
      </c>
      <c r="E21">
        <v>30</v>
      </c>
      <c r="F21">
        <v>98</v>
      </c>
      <c r="G21">
        <v>10</v>
      </c>
      <c r="H21">
        <v>0.62</v>
      </c>
      <c r="I21">
        <v>25</v>
      </c>
      <c r="J21">
        <v>78.80595469107676</v>
      </c>
      <c r="K21">
        <v>5</v>
      </c>
      <c r="L21">
        <v>83.80595469107676</v>
      </c>
      <c r="M21">
        <v>-1.4210854715202E-14</v>
      </c>
      <c r="N21">
        <v>1.4210854715202E-14</v>
      </c>
      <c r="O21">
        <v>1.834375</v>
      </c>
      <c r="P21">
        <v>0.0277655265090623</v>
      </c>
      <c r="Q21">
        <v>59.984375</v>
      </c>
      <c r="R21" t="s">
        <v>132</v>
      </c>
      <c r="S21">
        <v>0.75</v>
      </c>
      <c r="T21">
        <v>150</v>
      </c>
      <c r="U21">
        <v>40</v>
      </c>
      <c r="V21">
        <v>0.0026338247575395</v>
      </c>
      <c r="W21">
        <v>90.51404713438484</v>
      </c>
      <c r="X21">
        <v>81.703125</v>
      </c>
      <c r="Y21">
        <v>75.9021388238225</v>
      </c>
      <c r="Z21">
        <v>0.3795106941191125</v>
      </c>
      <c r="AA21">
        <v>0</v>
      </c>
      <c r="AC21">
        <v>83.03764452806722</v>
      </c>
      <c r="AD21">
        <v>83.03764452806722</v>
      </c>
      <c r="AE21">
        <v>0.768310163011895</v>
      </c>
      <c r="AF21">
        <v>22.03882350628619</v>
      </c>
      <c r="AG21">
        <v>-2.350009076224069E-12</v>
      </c>
      <c r="AH21">
        <v>2.804107518238541E-14</v>
      </c>
      <c r="AI21" t="b">
        <v>1</v>
      </c>
      <c r="AJ21" t="b">
        <v>1</v>
      </c>
      <c r="AK21" t="b">
        <v>1</v>
      </c>
      <c r="AL21">
        <v>0.3533312079962343</v>
      </c>
      <c r="AM21" t="b">
        <v>1</v>
      </c>
    </row>
    <row r="22" spans="1:39">
      <c r="A22" t="s">
        <v>114</v>
      </c>
      <c r="B22">
        <v>25</v>
      </c>
      <c r="C22" t="s">
        <v>115</v>
      </c>
      <c r="D22">
        <v>1.875</v>
      </c>
      <c r="E22">
        <v>30</v>
      </c>
      <c r="F22">
        <v>98</v>
      </c>
      <c r="G22">
        <v>10</v>
      </c>
      <c r="H22">
        <v>0.62</v>
      </c>
      <c r="I22">
        <v>25</v>
      </c>
      <c r="J22">
        <v>78.80595469107676</v>
      </c>
      <c r="K22">
        <v>5</v>
      </c>
      <c r="L22">
        <v>83.80595469107676</v>
      </c>
      <c r="M22">
        <v>-1.4210854715202E-14</v>
      </c>
      <c r="N22">
        <v>1.4210854715202E-14</v>
      </c>
      <c r="O22">
        <v>1.834375</v>
      </c>
      <c r="P22">
        <v>0.0277655265090623</v>
      </c>
      <c r="Q22">
        <v>59.984375</v>
      </c>
      <c r="R22" t="s">
        <v>133</v>
      </c>
      <c r="S22">
        <v>0.75</v>
      </c>
      <c r="T22">
        <v>150</v>
      </c>
      <c r="U22">
        <v>60</v>
      </c>
      <c r="V22">
        <v>0.005536806901688</v>
      </c>
      <c r="W22">
        <v>80.05870012988609</v>
      </c>
      <c r="X22">
        <v>77.109375</v>
      </c>
      <c r="Y22">
        <v>68.79726328012531</v>
      </c>
      <c r="Z22">
        <v>0.3439863164006265</v>
      </c>
      <c r="AA22">
        <v>0</v>
      </c>
      <c r="AC22">
        <v>83.55146301758258</v>
      </c>
      <c r="AD22">
        <v>83.55146301758258</v>
      </c>
      <c r="AE22">
        <v>0.254491673521629</v>
      </c>
      <c r="AF22">
        <v>12.32067970968058</v>
      </c>
      <c r="AG22">
        <v>-2.744254823383585E-11</v>
      </c>
      <c r="AH22">
        <v>3.274534409278413E-13</v>
      </c>
      <c r="AI22" t="b">
        <v>1</v>
      </c>
      <c r="AJ22" t="b">
        <v>1</v>
      </c>
      <c r="AK22" t="b">
        <v>1</v>
      </c>
      <c r="AL22">
        <v>0.3591223750263452</v>
      </c>
      <c r="AM22" t="b">
        <v>1</v>
      </c>
    </row>
    <row r="23" spans="1:39">
      <c r="A23" t="s">
        <v>114</v>
      </c>
      <c r="B23">
        <v>25</v>
      </c>
      <c r="C23" t="s">
        <v>115</v>
      </c>
      <c r="D23">
        <v>1.875</v>
      </c>
      <c r="E23">
        <v>30</v>
      </c>
      <c r="F23">
        <v>98</v>
      </c>
      <c r="G23">
        <v>10</v>
      </c>
      <c r="H23">
        <v>0.62</v>
      </c>
      <c r="I23">
        <v>25</v>
      </c>
      <c r="J23">
        <v>78.80595469107676</v>
      </c>
      <c r="K23">
        <v>5</v>
      </c>
      <c r="L23">
        <v>83.80595469107676</v>
      </c>
      <c r="M23">
        <v>-1.4210854715202E-14</v>
      </c>
      <c r="N23">
        <v>1.4210854715202E-14</v>
      </c>
      <c r="O23">
        <v>1.834375</v>
      </c>
      <c r="P23">
        <v>0.0277655265090623</v>
      </c>
      <c r="Q23">
        <v>59.984375</v>
      </c>
      <c r="R23" t="s">
        <v>134</v>
      </c>
      <c r="S23">
        <v>0.75</v>
      </c>
      <c r="T23">
        <v>150</v>
      </c>
      <c r="U23">
        <v>80</v>
      </c>
      <c r="V23">
        <v>0.0090421998970948</v>
      </c>
      <c r="W23">
        <v>67.43371715229812</v>
      </c>
      <c r="X23">
        <v>74.203125</v>
      </c>
      <c r="Y23">
        <v>61.05313638202301</v>
      </c>
      <c r="Z23">
        <v>0.305265681910115</v>
      </c>
      <c r="AA23">
        <v>0</v>
      </c>
      <c r="AC23">
        <v>83.67212618896377</v>
      </c>
      <c r="AD23">
        <v>83.67212618896377</v>
      </c>
      <c r="AE23">
        <v>0.1338285021790524</v>
      </c>
      <c r="AF23">
        <v>8.428830528341138</v>
      </c>
      <c r="AG23">
        <v>-6.606190594560246E-11</v>
      </c>
      <c r="AH23">
        <v>7.882722199051137E-13</v>
      </c>
      <c r="AI23" t="b">
        <v>1</v>
      </c>
      <c r="AJ23" t="b">
        <v>1</v>
      </c>
      <c r="AK23" t="b">
        <v>1</v>
      </c>
      <c r="AL23">
        <v>0.3599282499635592</v>
      </c>
      <c r="AM23" t="b">
        <v>1</v>
      </c>
    </row>
    <row r="24" spans="1:39">
      <c r="A24" t="s">
        <v>114</v>
      </c>
      <c r="B24">
        <v>25</v>
      </c>
      <c r="C24" t="s">
        <v>115</v>
      </c>
      <c r="D24">
        <v>1.875</v>
      </c>
      <c r="E24">
        <v>30</v>
      </c>
      <c r="F24">
        <v>98</v>
      </c>
      <c r="G24">
        <v>10</v>
      </c>
      <c r="H24">
        <v>0.62</v>
      </c>
      <c r="I24">
        <v>25</v>
      </c>
      <c r="J24">
        <v>78.80595469107676</v>
      </c>
      <c r="K24">
        <v>5</v>
      </c>
      <c r="L24">
        <v>83.80595469107676</v>
      </c>
      <c r="M24">
        <v>-1.4210854715202E-14</v>
      </c>
      <c r="N24">
        <v>1.4210854715202E-14</v>
      </c>
      <c r="O24">
        <v>1.834375</v>
      </c>
      <c r="P24">
        <v>0.0277655265090623</v>
      </c>
      <c r="Q24">
        <v>59.984375</v>
      </c>
      <c r="R24" t="s">
        <v>135</v>
      </c>
      <c r="S24">
        <v>0.75</v>
      </c>
      <c r="T24">
        <v>150</v>
      </c>
      <c r="U24">
        <v>100</v>
      </c>
      <c r="V24">
        <v>0.0127662876896466</v>
      </c>
      <c r="W24">
        <v>54.0210855159547</v>
      </c>
      <c r="X24">
        <v>72.015625</v>
      </c>
      <c r="Y24">
        <v>53.42759891945759</v>
      </c>
      <c r="Z24">
        <v>0.2671379945972879</v>
      </c>
      <c r="AA24">
        <v>0</v>
      </c>
      <c r="AC24">
        <v>83.7219577608553</v>
      </c>
      <c r="AD24">
        <v>83.7219577608553</v>
      </c>
      <c r="AE24">
        <v>0.0839969302237321</v>
      </c>
      <c r="AF24">
        <v>6.389160608215257</v>
      </c>
      <c r="AG24">
        <v>-2.272293464500308E-12</v>
      </c>
      <c r="AH24">
        <v>2.711374714214968E-14</v>
      </c>
      <c r="AI24" t="b">
        <v>1</v>
      </c>
      <c r="AJ24" t="b">
        <v>1</v>
      </c>
      <c r="AK24" t="b">
        <v>1</v>
      </c>
      <c r="AL24">
        <v>0.355001249932684</v>
      </c>
      <c r="AM24" t="b">
        <v>1</v>
      </c>
    </row>
    <row r="25" spans="1:39">
      <c r="A25" t="s">
        <v>114</v>
      </c>
      <c r="B25">
        <v>25</v>
      </c>
      <c r="C25" t="s">
        <v>115</v>
      </c>
      <c r="D25">
        <v>1.875</v>
      </c>
      <c r="E25">
        <v>30</v>
      </c>
      <c r="F25">
        <v>98</v>
      </c>
      <c r="G25">
        <v>10</v>
      </c>
      <c r="H25">
        <v>0.62</v>
      </c>
      <c r="I25">
        <v>25</v>
      </c>
      <c r="J25">
        <v>78.80595469107676</v>
      </c>
      <c r="K25">
        <v>5</v>
      </c>
      <c r="L25">
        <v>83.80595469107676</v>
      </c>
      <c r="M25">
        <v>-1.4210854715202E-14</v>
      </c>
      <c r="N25">
        <v>1.4210854715202E-14</v>
      </c>
      <c r="O25">
        <v>1.834375</v>
      </c>
      <c r="P25">
        <v>0.0277655265090623</v>
      </c>
      <c r="Q25">
        <v>59.984375</v>
      </c>
      <c r="R25" t="s">
        <v>136</v>
      </c>
      <c r="S25">
        <v>0.9</v>
      </c>
      <c r="T25">
        <v>180</v>
      </c>
      <c r="U25">
        <v>40</v>
      </c>
      <c r="V25">
        <v>0.0026338247575395</v>
      </c>
      <c r="W25">
        <v>90.51404713438484</v>
      </c>
      <c r="X25">
        <v>81.703125</v>
      </c>
      <c r="Y25">
        <v>75.9021388238225</v>
      </c>
      <c r="Z25">
        <v>0.3795106941191125</v>
      </c>
      <c r="AA25">
        <v>0</v>
      </c>
      <c r="AC25">
        <v>83.03764452806722</v>
      </c>
      <c r="AD25">
        <v>83.03764452806722</v>
      </c>
      <c r="AE25">
        <v>0.768310163011895</v>
      </c>
      <c r="AF25">
        <v>20.51205060365895</v>
      </c>
      <c r="AG25">
        <v>-2.350009076224069E-12</v>
      </c>
      <c r="AH25">
        <v>2.804107518238541E-14</v>
      </c>
      <c r="AI25" t="b">
        <v>1</v>
      </c>
      <c r="AJ25" t="b">
        <v>1</v>
      </c>
      <c r="AK25" t="b">
        <v>1</v>
      </c>
      <c r="AL25">
        <v>0.3545430829981342</v>
      </c>
      <c r="AM25" t="b">
        <v>1</v>
      </c>
    </row>
    <row r="26" spans="1:39">
      <c r="A26" t="s">
        <v>114</v>
      </c>
      <c r="B26">
        <v>25</v>
      </c>
      <c r="C26" t="s">
        <v>115</v>
      </c>
      <c r="D26">
        <v>1.875</v>
      </c>
      <c r="E26">
        <v>30</v>
      </c>
      <c r="F26">
        <v>98</v>
      </c>
      <c r="G26">
        <v>10</v>
      </c>
      <c r="H26">
        <v>0.62</v>
      </c>
      <c r="I26">
        <v>25</v>
      </c>
      <c r="J26">
        <v>78.80595469107676</v>
      </c>
      <c r="K26">
        <v>5</v>
      </c>
      <c r="L26">
        <v>83.80595469107676</v>
      </c>
      <c r="M26">
        <v>-1.4210854715202E-14</v>
      </c>
      <c r="N26">
        <v>1.4210854715202E-14</v>
      </c>
      <c r="O26">
        <v>1.834375</v>
      </c>
      <c r="P26">
        <v>0.0277655265090623</v>
      </c>
      <c r="Q26">
        <v>59.984375</v>
      </c>
      <c r="R26" t="s">
        <v>137</v>
      </c>
      <c r="S26">
        <v>0.9</v>
      </c>
      <c r="T26">
        <v>180</v>
      </c>
      <c r="U26">
        <v>60</v>
      </c>
      <c r="V26">
        <v>0.005536806901688</v>
      </c>
      <c r="W26">
        <v>80.05870012988609</v>
      </c>
      <c r="X26">
        <v>77.109375</v>
      </c>
      <c r="Y26">
        <v>68.79726328012531</v>
      </c>
      <c r="Z26">
        <v>0.3439863164006265</v>
      </c>
      <c r="AA26">
        <v>0</v>
      </c>
      <c r="AC26">
        <v>83.55146301758258</v>
      </c>
      <c r="AD26">
        <v>83.55146301758258</v>
      </c>
      <c r="AE26">
        <v>0.254491673521629</v>
      </c>
      <c r="AF26">
        <v>11.30280737304613</v>
      </c>
      <c r="AG26">
        <v>-2.744254823383585E-11</v>
      </c>
      <c r="AH26">
        <v>3.274534409278413E-13</v>
      </c>
      <c r="AI26" t="b">
        <v>1</v>
      </c>
      <c r="AJ26" t="b">
        <v>1</v>
      </c>
      <c r="AK26" t="b">
        <v>1</v>
      </c>
      <c r="AL26">
        <v>0.3675060420064255</v>
      </c>
      <c r="AM26" t="b">
        <v>1</v>
      </c>
    </row>
    <row r="27" spans="1:39">
      <c r="A27" t="s">
        <v>114</v>
      </c>
      <c r="B27">
        <v>25</v>
      </c>
      <c r="C27" t="s">
        <v>115</v>
      </c>
      <c r="D27">
        <v>1.875</v>
      </c>
      <c r="E27">
        <v>30</v>
      </c>
      <c r="F27">
        <v>98</v>
      </c>
      <c r="G27">
        <v>10</v>
      </c>
      <c r="H27">
        <v>0.62</v>
      </c>
      <c r="I27">
        <v>25</v>
      </c>
      <c r="J27">
        <v>78.80595469107676</v>
      </c>
      <c r="K27">
        <v>5</v>
      </c>
      <c r="L27">
        <v>83.80595469107676</v>
      </c>
      <c r="M27">
        <v>-1.4210854715202E-14</v>
      </c>
      <c r="N27">
        <v>1.4210854715202E-14</v>
      </c>
      <c r="O27">
        <v>1.834375</v>
      </c>
      <c r="P27">
        <v>0.0277655265090623</v>
      </c>
      <c r="Q27">
        <v>59.984375</v>
      </c>
      <c r="R27" t="s">
        <v>138</v>
      </c>
      <c r="S27">
        <v>0.9</v>
      </c>
      <c r="T27">
        <v>180</v>
      </c>
      <c r="U27">
        <v>80</v>
      </c>
      <c r="V27">
        <v>0.0090421998970948</v>
      </c>
      <c r="W27">
        <v>67.43371715229812</v>
      </c>
      <c r="X27">
        <v>74.203125</v>
      </c>
      <c r="Y27">
        <v>61.05313638202301</v>
      </c>
      <c r="Z27">
        <v>0.305265681910115</v>
      </c>
      <c r="AA27">
        <v>0</v>
      </c>
      <c r="AC27">
        <v>83.67212618896377</v>
      </c>
      <c r="AD27">
        <v>83.67212618896377</v>
      </c>
      <c r="AE27">
        <v>0.1338285021790524</v>
      </c>
      <c r="AF27">
        <v>7.665408472671335</v>
      </c>
      <c r="AG27">
        <v>-6.606190594560246E-11</v>
      </c>
      <c r="AH27">
        <v>7.882722199051137E-13</v>
      </c>
      <c r="AI27" t="b">
        <v>1</v>
      </c>
      <c r="AJ27" t="b">
        <v>1</v>
      </c>
      <c r="AK27" t="b">
        <v>1</v>
      </c>
      <c r="AL27">
        <v>0.3731924169696867</v>
      </c>
      <c r="AM27" t="b">
        <v>1</v>
      </c>
    </row>
    <row r="28" spans="1:39">
      <c r="A28" t="s">
        <v>114</v>
      </c>
      <c r="B28">
        <v>25</v>
      </c>
      <c r="C28" t="s">
        <v>115</v>
      </c>
      <c r="D28">
        <v>1.875</v>
      </c>
      <c r="E28">
        <v>30</v>
      </c>
      <c r="F28">
        <v>98</v>
      </c>
      <c r="G28">
        <v>10</v>
      </c>
      <c r="H28">
        <v>0.62</v>
      </c>
      <c r="I28">
        <v>25</v>
      </c>
      <c r="J28">
        <v>78.80595469107676</v>
      </c>
      <c r="K28">
        <v>5</v>
      </c>
      <c r="L28">
        <v>83.80595469107676</v>
      </c>
      <c r="M28">
        <v>-1.4210854715202E-14</v>
      </c>
      <c r="N28">
        <v>1.4210854715202E-14</v>
      </c>
      <c r="O28">
        <v>1.834375</v>
      </c>
      <c r="P28">
        <v>0.0277655265090623</v>
      </c>
      <c r="Q28">
        <v>59.984375</v>
      </c>
      <c r="R28" t="s">
        <v>139</v>
      </c>
      <c r="S28">
        <v>0.9</v>
      </c>
      <c r="T28">
        <v>180</v>
      </c>
      <c r="U28">
        <v>100</v>
      </c>
      <c r="V28">
        <v>0.0127662876896466</v>
      </c>
      <c r="W28">
        <v>54.0210855159547</v>
      </c>
      <c r="X28">
        <v>72.015625</v>
      </c>
      <c r="Y28">
        <v>53.42759891945759</v>
      </c>
      <c r="Z28">
        <v>0.2671379945972879</v>
      </c>
      <c r="AA28">
        <v>0</v>
      </c>
      <c r="AC28">
        <v>83.7219577608553</v>
      </c>
      <c r="AD28">
        <v>83.7219577608553</v>
      </c>
      <c r="AE28">
        <v>0.0839969302237321</v>
      </c>
      <c r="AF28">
        <v>5.778408726649914</v>
      </c>
      <c r="AG28">
        <v>-2.272293464500308E-12</v>
      </c>
      <c r="AH28">
        <v>2.711374714214968E-14</v>
      </c>
      <c r="AI28" t="b">
        <v>1</v>
      </c>
      <c r="AJ28" t="b">
        <v>1</v>
      </c>
      <c r="AK28" t="b">
        <v>1</v>
      </c>
      <c r="AL28">
        <v>0.3672935420181602</v>
      </c>
      <c r="AM28" t="b">
        <v>1</v>
      </c>
    </row>
    <row r="29" spans="1:39">
      <c r="A29" t="s">
        <v>140</v>
      </c>
      <c r="B29">
        <v>25</v>
      </c>
      <c r="C29" t="s">
        <v>141</v>
      </c>
      <c r="D29">
        <v>1.875</v>
      </c>
      <c r="E29">
        <v>60</v>
      </c>
      <c r="F29">
        <v>98</v>
      </c>
      <c r="G29">
        <v>10</v>
      </c>
      <c r="H29">
        <v>0.62</v>
      </c>
      <c r="I29">
        <v>25</v>
      </c>
      <c r="J29">
        <v>78.80595469107678</v>
      </c>
      <c r="K29">
        <v>4.999999999999999</v>
      </c>
      <c r="L29">
        <v>83.80595469107676</v>
      </c>
      <c r="M29">
        <v>0</v>
      </c>
      <c r="N29">
        <v>-1.4210854715202E-14</v>
      </c>
      <c r="O29">
        <v>1.834375</v>
      </c>
      <c r="P29">
        <v>0.0326814340875264</v>
      </c>
      <c r="Q29">
        <v>28.703125</v>
      </c>
      <c r="R29" t="s">
        <v>116</v>
      </c>
      <c r="S29">
        <v>0.15</v>
      </c>
      <c r="T29">
        <v>30</v>
      </c>
      <c r="U29">
        <v>40</v>
      </c>
      <c r="V29">
        <v>0.0326353321092653</v>
      </c>
      <c r="W29">
        <v>0.1410647346062887</v>
      </c>
      <c r="X29">
        <v>29.828125</v>
      </c>
      <c r="Y29">
        <v>30</v>
      </c>
      <c r="Z29">
        <v>0.15</v>
      </c>
      <c r="AA29">
        <v>47.64028132209744</v>
      </c>
      <c r="AB29">
        <v>29.78125</v>
      </c>
      <c r="AC29">
        <v>36.04020439650397</v>
      </c>
      <c r="AD29">
        <v>83.6804857186014</v>
      </c>
      <c r="AE29">
        <v>0.1254689724758748</v>
      </c>
      <c r="AF29">
        <v>37.59523147392407</v>
      </c>
      <c r="AG29">
        <v>-5.144773496112975E-13</v>
      </c>
      <c r="AH29">
        <v>6.138911626360561E-15</v>
      </c>
      <c r="AI29" t="b">
        <v>0</v>
      </c>
      <c r="AJ29" t="b">
        <v>0</v>
      </c>
      <c r="AK29" t="b">
        <v>0</v>
      </c>
      <c r="AL29">
        <v>1.079342209035531</v>
      </c>
      <c r="AM29" t="b">
        <v>0</v>
      </c>
    </row>
    <row r="30" spans="1:39">
      <c r="A30" t="s">
        <v>140</v>
      </c>
      <c r="B30">
        <v>25</v>
      </c>
      <c r="C30" t="s">
        <v>141</v>
      </c>
      <c r="D30">
        <v>1.875</v>
      </c>
      <c r="E30">
        <v>30</v>
      </c>
      <c r="F30">
        <v>98</v>
      </c>
      <c r="G30">
        <v>10</v>
      </c>
      <c r="H30">
        <v>0.62</v>
      </c>
      <c r="I30">
        <v>25</v>
      </c>
      <c r="J30">
        <v>78.80595469107678</v>
      </c>
      <c r="K30">
        <v>4.999999999999999</v>
      </c>
      <c r="L30">
        <v>83.80595469107676</v>
      </c>
      <c r="M30">
        <v>0</v>
      </c>
      <c r="N30">
        <v>-1.4210854715202E-14</v>
      </c>
      <c r="O30">
        <v>1.834375</v>
      </c>
      <c r="P30">
        <v>0.0326814340875264</v>
      </c>
      <c r="Q30">
        <v>28.703125</v>
      </c>
      <c r="R30" t="s">
        <v>117</v>
      </c>
      <c r="S30">
        <v>0.15</v>
      </c>
      <c r="T30">
        <v>30</v>
      </c>
      <c r="U30">
        <v>60</v>
      </c>
      <c r="V30">
        <v>0.032190317562519</v>
      </c>
      <c r="W30">
        <v>1.502738599818354</v>
      </c>
      <c r="X30">
        <v>30.359375</v>
      </c>
      <c r="Y30">
        <v>30</v>
      </c>
      <c r="Z30">
        <v>0.15</v>
      </c>
      <c r="AA30">
        <v>41.64955094657804</v>
      </c>
      <c r="AB30">
        <v>30.3125</v>
      </c>
      <c r="AC30">
        <v>41.94097375262092</v>
      </c>
      <c r="AD30">
        <v>83.59052469919897</v>
      </c>
      <c r="AE30">
        <v>0.2154299918766737</v>
      </c>
      <c r="AF30">
        <v>24.29633180423291</v>
      </c>
      <c r="AG30">
        <v>1.138422689450636E-12</v>
      </c>
      <c r="AH30">
        <v>1.358403103511031E-14</v>
      </c>
      <c r="AI30" t="b">
        <v>0</v>
      </c>
      <c r="AJ30" t="b">
        <v>0</v>
      </c>
      <c r="AK30" t="b">
        <v>0</v>
      </c>
      <c r="AL30">
        <v>0.3451356670120731</v>
      </c>
      <c r="AM30" t="b">
        <v>0</v>
      </c>
    </row>
    <row r="31" spans="1:39">
      <c r="A31" t="s">
        <v>140</v>
      </c>
      <c r="B31">
        <v>25</v>
      </c>
      <c r="C31" t="s">
        <v>141</v>
      </c>
      <c r="D31">
        <v>1.875</v>
      </c>
      <c r="E31">
        <v>30</v>
      </c>
      <c r="F31">
        <v>98</v>
      </c>
      <c r="G31">
        <v>10</v>
      </c>
      <c r="H31">
        <v>0.62</v>
      </c>
      <c r="I31">
        <v>25</v>
      </c>
      <c r="J31">
        <v>78.80595469107678</v>
      </c>
      <c r="K31">
        <v>4.999999999999999</v>
      </c>
      <c r="L31">
        <v>83.80595469107676</v>
      </c>
      <c r="M31">
        <v>0</v>
      </c>
      <c r="N31">
        <v>-1.4210854715202E-14</v>
      </c>
      <c r="O31">
        <v>1.834375</v>
      </c>
      <c r="P31">
        <v>0.0326814340875264</v>
      </c>
      <c r="Q31">
        <v>28.703125</v>
      </c>
      <c r="R31" t="s">
        <v>118</v>
      </c>
      <c r="S31">
        <v>0.15</v>
      </c>
      <c r="T31">
        <v>30</v>
      </c>
      <c r="U31">
        <v>80</v>
      </c>
      <c r="V31">
        <v>0.0321019113988597</v>
      </c>
      <c r="W31">
        <v>1.773247425785063</v>
      </c>
      <c r="X31">
        <v>31.046875</v>
      </c>
      <c r="Y31">
        <v>30</v>
      </c>
      <c r="Z31">
        <v>0.15</v>
      </c>
      <c r="AA31">
        <v>34.63417616320409</v>
      </c>
      <c r="AB31">
        <v>31</v>
      </c>
      <c r="AC31">
        <v>49.04844623609197</v>
      </c>
      <c r="AD31">
        <v>83.68262239929605</v>
      </c>
      <c r="AE31">
        <v>0.1233322917452751</v>
      </c>
      <c r="AF31">
        <v>18.03616097626043</v>
      </c>
      <c r="AG31">
        <v>3.542360849095871E-11</v>
      </c>
      <c r="AH31">
        <v>4.226860563970216E-13</v>
      </c>
      <c r="AI31" t="b">
        <v>0</v>
      </c>
      <c r="AJ31" t="b">
        <v>0</v>
      </c>
      <c r="AK31" t="b">
        <v>1</v>
      </c>
      <c r="AL31">
        <v>0.362345999921672</v>
      </c>
      <c r="AM31" t="b">
        <v>0</v>
      </c>
    </row>
    <row r="32" spans="1:39">
      <c r="A32" t="s">
        <v>140</v>
      </c>
      <c r="B32">
        <v>25</v>
      </c>
      <c r="C32" t="s">
        <v>141</v>
      </c>
      <c r="D32">
        <v>1.875</v>
      </c>
      <c r="E32">
        <v>30</v>
      </c>
      <c r="F32">
        <v>98</v>
      </c>
      <c r="G32">
        <v>10</v>
      </c>
      <c r="H32">
        <v>0.62</v>
      </c>
      <c r="I32">
        <v>25</v>
      </c>
      <c r="J32">
        <v>78.80595469107678</v>
      </c>
      <c r="K32">
        <v>4.999999999999999</v>
      </c>
      <c r="L32">
        <v>83.80595469107676</v>
      </c>
      <c r="M32">
        <v>0</v>
      </c>
      <c r="N32">
        <v>-1.4210854715202E-14</v>
      </c>
      <c r="O32">
        <v>1.834375</v>
      </c>
      <c r="P32">
        <v>0.0326814340875264</v>
      </c>
      <c r="Q32">
        <v>28.703125</v>
      </c>
      <c r="R32" t="s">
        <v>119</v>
      </c>
      <c r="S32">
        <v>0.15</v>
      </c>
      <c r="T32">
        <v>30</v>
      </c>
      <c r="U32">
        <v>100</v>
      </c>
      <c r="V32">
        <v>0.0319636273972567</v>
      </c>
      <c r="W32">
        <v>2.196374517554267</v>
      </c>
      <c r="X32">
        <v>31.859375</v>
      </c>
      <c r="Y32">
        <v>30</v>
      </c>
      <c r="Z32">
        <v>0.15</v>
      </c>
      <c r="AA32">
        <v>27.23037566153419</v>
      </c>
      <c r="AB32">
        <v>31.8125</v>
      </c>
      <c r="AC32">
        <v>56.49529547938765</v>
      </c>
      <c r="AD32">
        <v>83.72567114092183</v>
      </c>
      <c r="AE32">
        <v>0.0802835499756139</v>
      </c>
      <c r="AF32">
        <v>14.37603559515974</v>
      </c>
      <c r="AG32">
        <v>1.793029058561046E-10</v>
      </c>
      <c r="AH32">
        <v>2.139500785081993E-12</v>
      </c>
      <c r="AI32" t="b">
        <v>0</v>
      </c>
      <c r="AJ32" t="b">
        <v>0</v>
      </c>
      <c r="AK32" t="b">
        <v>1</v>
      </c>
      <c r="AL32">
        <v>0.3513679999159649</v>
      </c>
      <c r="AM32" t="b">
        <v>0</v>
      </c>
    </row>
    <row r="33" spans="1:39">
      <c r="A33" t="s">
        <v>140</v>
      </c>
      <c r="B33">
        <v>25</v>
      </c>
      <c r="C33" t="s">
        <v>141</v>
      </c>
      <c r="D33">
        <v>1.875</v>
      </c>
      <c r="E33">
        <v>60</v>
      </c>
      <c r="F33">
        <v>98</v>
      </c>
      <c r="G33">
        <v>10</v>
      </c>
      <c r="H33">
        <v>0.62</v>
      </c>
      <c r="I33">
        <v>25</v>
      </c>
      <c r="J33">
        <v>78.80595469107678</v>
      </c>
      <c r="K33">
        <v>4.999999999999999</v>
      </c>
      <c r="L33">
        <v>83.80595469107676</v>
      </c>
      <c r="M33">
        <v>0</v>
      </c>
      <c r="N33">
        <v>-1.4210854715202E-14</v>
      </c>
      <c r="O33">
        <v>1.834375</v>
      </c>
      <c r="P33">
        <v>0.0326814340875264</v>
      </c>
      <c r="Q33">
        <v>28.703125</v>
      </c>
      <c r="R33" t="s">
        <v>120</v>
      </c>
      <c r="S33">
        <v>0.3</v>
      </c>
      <c r="T33">
        <v>60</v>
      </c>
      <c r="U33">
        <v>40</v>
      </c>
      <c r="V33">
        <v>0.022614817590238</v>
      </c>
      <c r="W33">
        <v>30.80224836623837</v>
      </c>
      <c r="X33">
        <v>48.765625</v>
      </c>
      <c r="Y33">
        <v>60</v>
      </c>
      <c r="Z33">
        <v>0.3</v>
      </c>
      <c r="AA33">
        <v>15.89754005725783</v>
      </c>
      <c r="AB33">
        <v>48.71875</v>
      </c>
      <c r="AC33">
        <v>67.76341157438495</v>
      </c>
      <c r="AD33">
        <v>83.66095163164277</v>
      </c>
      <c r="AE33">
        <v>0.1450030594349939</v>
      </c>
      <c r="AF33">
        <v>30.34759698885335</v>
      </c>
      <c r="AG33">
        <v>-1.00466857055892E-12</v>
      </c>
      <c r="AH33">
        <v>1.198803324014746E-14</v>
      </c>
      <c r="AI33" t="b">
        <v>0</v>
      </c>
      <c r="AJ33" t="b">
        <v>0</v>
      </c>
      <c r="AK33" t="b">
        <v>0</v>
      </c>
      <c r="AL33">
        <v>1.109639500034973</v>
      </c>
      <c r="AM33" t="b">
        <v>0</v>
      </c>
    </row>
    <row r="34" spans="1:39">
      <c r="A34" t="s">
        <v>140</v>
      </c>
      <c r="B34">
        <v>25</v>
      </c>
      <c r="C34" t="s">
        <v>141</v>
      </c>
      <c r="D34">
        <v>1.875</v>
      </c>
      <c r="E34">
        <v>30</v>
      </c>
      <c r="F34">
        <v>98</v>
      </c>
      <c r="G34">
        <v>10</v>
      </c>
      <c r="H34">
        <v>0.62</v>
      </c>
      <c r="I34">
        <v>25</v>
      </c>
      <c r="J34">
        <v>78.80595469107678</v>
      </c>
      <c r="K34">
        <v>4.999999999999999</v>
      </c>
      <c r="L34">
        <v>83.80595469107676</v>
      </c>
      <c r="M34">
        <v>0</v>
      </c>
      <c r="N34">
        <v>-1.4210854715202E-14</v>
      </c>
      <c r="O34">
        <v>1.834375</v>
      </c>
      <c r="P34">
        <v>0.0326814340875264</v>
      </c>
      <c r="Q34">
        <v>28.703125</v>
      </c>
      <c r="R34" t="s">
        <v>121</v>
      </c>
      <c r="S34">
        <v>0.3</v>
      </c>
      <c r="T34">
        <v>60</v>
      </c>
      <c r="U34">
        <v>60</v>
      </c>
      <c r="V34">
        <v>0.0196315530841616</v>
      </c>
      <c r="W34">
        <v>39.93056414970971</v>
      </c>
      <c r="X34">
        <v>52.421875</v>
      </c>
      <c r="Y34">
        <v>60</v>
      </c>
      <c r="Z34">
        <v>0.3</v>
      </c>
      <c r="AA34">
        <v>8.247074225496203</v>
      </c>
      <c r="AB34">
        <v>52.375</v>
      </c>
      <c r="AC34">
        <v>75.31407573770792</v>
      </c>
      <c r="AD34">
        <v>83.56114996320413</v>
      </c>
      <c r="AE34">
        <v>0.2448047278931186</v>
      </c>
      <c r="AF34">
        <v>18.55395142817257</v>
      </c>
      <c r="AG34">
        <v>-2.048511360541738E-11</v>
      </c>
      <c r="AH34">
        <v>2.444350605029088E-13</v>
      </c>
      <c r="AI34" t="b">
        <v>0</v>
      </c>
      <c r="AJ34" t="b">
        <v>0</v>
      </c>
      <c r="AK34" t="b">
        <v>1</v>
      </c>
      <c r="AL34">
        <v>0.3622928750701248</v>
      </c>
      <c r="AM34" t="b">
        <v>0</v>
      </c>
    </row>
    <row r="35" spans="1:39">
      <c r="A35" t="s">
        <v>140</v>
      </c>
      <c r="B35">
        <v>25</v>
      </c>
      <c r="C35" t="s">
        <v>141</v>
      </c>
      <c r="D35">
        <v>1.875</v>
      </c>
      <c r="E35">
        <v>30</v>
      </c>
      <c r="F35">
        <v>98</v>
      </c>
      <c r="G35">
        <v>10</v>
      </c>
      <c r="H35">
        <v>0.62</v>
      </c>
      <c r="I35">
        <v>25</v>
      </c>
      <c r="J35">
        <v>78.80595469107678</v>
      </c>
      <c r="K35">
        <v>4.999999999999999</v>
      </c>
      <c r="L35">
        <v>83.80595469107676</v>
      </c>
      <c r="M35">
        <v>0</v>
      </c>
      <c r="N35">
        <v>-1.4210854715202E-14</v>
      </c>
      <c r="O35">
        <v>1.834375</v>
      </c>
      <c r="P35">
        <v>0.0326814340875264</v>
      </c>
      <c r="Q35">
        <v>28.703125</v>
      </c>
      <c r="R35" t="s">
        <v>122</v>
      </c>
      <c r="S35">
        <v>0.3</v>
      </c>
      <c r="T35">
        <v>60</v>
      </c>
      <c r="U35">
        <v>80</v>
      </c>
      <c r="V35">
        <v>0.0089237129687126</v>
      </c>
      <c r="W35">
        <v>72.69485499071611</v>
      </c>
      <c r="X35">
        <v>66.328125</v>
      </c>
      <c r="Y35">
        <v>59.67718933329716</v>
      </c>
      <c r="Z35">
        <v>0.2983859466664857</v>
      </c>
      <c r="AA35">
        <v>0</v>
      </c>
      <c r="AC35">
        <v>83.67349873537009</v>
      </c>
      <c r="AD35">
        <v>83.67349873537009</v>
      </c>
      <c r="AE35">
        <v>0.1324559557799185</v>
      </c>
      <c r="AF35">
        <v>13.36905037830204</v>
      </c>
      <c r="AG35">
        <v>-7.324360562499521E-11</v>
      </c>
      <c r="AH35">
        <v>8.739666041032979E-13</v>
      </c>
      <c r="AI35" t="b">
        <v>1</v>
      </c>
      <c r="AJ35" t="b">
        <v>1</v>
      </c>
      <c r="AK35" t="b">
        <v>1</v>
      </c>
      <c r="AL35">
        <v>0.38721041707322</v>
      </c>
      <c r="AM35" t="b">
        <v>1</v>
      </c>
    </row>
    <row r="36" spans="1:39">
      <c r="A36" t="s">
        <v>140</v>
      </c>
      <c r="B36">
        <v>25</v>
      </c>
      <c r="C36" t="s">
        <v>141</v>
      </c>
      <c r="D36">
        <v>1.875</v>
      </c>
      <c r="E36">
        <v>30</v>
      </c>
      <c r="F36">
        <v>98</v>
      </c>
      <c r="G36">
        <v>10</v>
      </c>
      <c r="H36">
        <v>0.62</v>
      </c>
      <c r="I36">
        <v>25</v>
      </c>
      <c r="J36">
        <v>78.80595469107678</v>
      </c>
      <c r="K36">
        <v>4.999999999999999</v>
      </c>
      <c r="L36">
        <v>83.80595469107676</v>
      </c>
      <c r="M36">
        <v>0</v>
      </c>
      <c r="N36">
        <v>-1.4210854715202E-14</v>
      </c>
      <c r="O36">
        <v>1.834375</v>
      </c>
      <c r="P36">
        <v>0.0326814340875264</v>
      </c>
      <c r="Q36">
        <v>28.703125</v>
      </c>
      <c r="R36" t="s">
        <v>123</v>
      </c>
      <c r="S36">
        <v>0.3</v>
      </c>
      <c r="T36">
        <v>60</v>
      </c>
      <c r="U36">
        <v>100</v>
      </c>
      <c r="V36">
        <v>0.0125198135487411</v>
      </c>
      <c r="W36">
        <v>61.69135811111906</v>
      </c>
      <c r="X36">
        <v>61.421875</v>
      </c>
      <c r="Y36">
        <v>51.78208148618589</v>
      </c>
      <c r="Z36">
        <v>0.2589104074309294</v>
      </c>
      <c r="AA36">
        <v>0</v>
      </c>
      <c r="AC36">
        <v>83.72283737769519</v>
      </c>
      <c r="AD36">
        <v>83.72283737769519</v>
      </c>
      <c r="AE36">
        <v>0.0831173134022927</v>
      </c>
      <c r="AF36">
        <v>10.30635779050143</v>
      </c>
      <c r="AG36">
        <v>-2.071461058239521E-11</v>
      </c>
      <c r="AH36">
        <v>2.471734933245835E-13</v>
      </c>
      <c r="AI36" t="b">
        <v>1</v>
      </c>
      <c r="AJ36" t="b">
        <v>1</v>
      </c>
      <c r="AK36" t="b">
        <v>1</v>
      </c>
      <c r="AL36">
        <v>0.3625566669506952</v>
      </c>
      <c r="AM36" t="b">
        <v>1</v>
      </c>
    </row>
    <row r="37" spans="1:39">
      <c r="A37" t="s">
        <v>140</v>
      </c>
      <c r="B37">
        <v>25</v>
      </c>
      <c r="C37" t="s">
        <v>141</v>
      </c>
      <c r="D37">
        <v>1.875</v>
      </c>
      <c r="E37">
        <v>30</v>
      </c>
      <c r="F37">
        <v>98</v>
      </c>
      <c r="G37">
        <v>10</v>
      </c>
      <c r="H37">
        <v>0.62</v>
      </c>
      <c r="I37">
        <v>25</v>
      </c>
      <c r="J37">
        <v>78.80595469107678</v>
      </c>
      <c r="K37">
        <v>4.999999999999999</v>
      </c>
      <c r="L37">
        <v>83.80595469107676</v>
      </c>
      <c r="M37">
        <v>0</v>
      </c>
      <c r="N37">
        <v>-1.4210854715202E-14</v>
      </c>
      <c r="O37">
        <v>1.834375</v>
      </c>
      <c r="P37">
        <v>0.0326814340875264</v>
      </c>
      <c r="Q37">
        <v>28.703125</v>
      </c>
      <c r="R37" t="s">
        <v>124</v>
      </c>
      <c r="S37">
        <v>0.45</v>
      </c>
      <c r="T37">
        <v>90</v>
      </c>
      <c r="U37">
        <v>40</v>
      </c>
      <c r="V37">
        <v>0.0026275197392778</v>
      </c>
      <c r="W37">
        <v>91.96020672703391</v>
      </c>
      <c r="X37">
        <v>75.359375</v>
      </c>
      <c r="Y37">
        <v>75.55848089860017</v>
      </c>
      <c r="Z37">
        <v>0.3777924044930008</v>
      </c>
      <c r="AA37">
        <v>0</v>
      </c>
      <c r="AC37">
        <v>83.04641381927672</v>
      </c>
      <c r="AD37">
        <v>83.04641381927672</v>
      </c>
      <c r="AE37">
        <v>0.7595408718030648</v>
      </c>
      <c r="AF37">
        <v>26.99698040452481</v>
      </c>
      <c r="AG37">
        <v>-3.023470362961689E-12</v>
      </c>
      <c r="AH37">
        <v>3.607703502819964E-14</v>
      </c>
      <c r="AI37" t="b">
        <v>1</v>
      </c>
      <c r="AJ37" t="b">
        <v>1</v>
      </c>
      <c r="AK37" t="b">
        <v>0</v>
      </c>
      <c r="AL37">
        <v>0.3631880410248413</v>
      </c>
      <c r="AM37" t="b">
        <v>0</v>
      </c>
    </row>
    <row r="38" spans="1:39">
      <c r="A38" t="s">
        <v>140</v>
      </c>
      <c r="B38">
        <v>25</v>
      </c>
      <c r="C38" t="s">
        <v>141</v>
      </c>
      <c r="D38">
        <v>1.875</v>
      </c>
      <c r="E38">
        <v>30</v>
      </c>
      <c r="F38">
        <v>98</v>
      </c>
      <c r="G38">
        <v>10</v>
      </c>
      <c r="H38">
        <v>0.62</v>
      </c>
      <c r="I38">
        <v>25</v>
      </c>
      <c r="J38">
        <v>78.80595469107678</v>
      </c>
      <c r="K38">
        <v>4.999999999999999</v>
      </c>
      <c r="L38">
        <v>83.80595469107676</v>
      </c>
      <c r="M38">
        <v>0</v>
      </c>
      <c r="N38">
        <v>-1.4210854715202E-14</v>
      </c>
      <c r="O38">
        <v>1.834375</v>
      </c>
      <c r="P38">
        <v>0.0326814340875264</v>
      </c>
      <c r="Q38">
        <v>28.703125</v>
      </c>
      <c r="R38" t="s">
        <v>125</v>
      </c>
      <c r="S38">
        <v>0.45</v>
      </c>
      <c r="T38">
        <v>90</v>
      </c>
      <c r="U38">
        <v>60</v>
      </c>
      <c r="V38">
        <v>0.0055001855599035</v>
      </c>
      <c r="W38">
        <v>83.17030536305995</v>
      </c>
      <c r="X38">
        <v>70.640625</v>
      </c>
      <c r="Y38">
        <v>67.97057892330716</v>
      </c>
      <c r="Z38">
        <v>0.3398528946165358</v>
      </c>
      <c r="AA38">
        <v>0</v>
      </c>
      <c r="AC38">
        <v>83.55406940868423</v>
      </c>
      <c r="AD38">
        <v>83.55406940868423</v>
      </c>
      <c r="AE38">
        <v>0.2518852824194278</v>
      </c>
      <c r="AF38">
        <v>15.57378527724065</v>
      </c>
      <c r="AG38">
        <v>-2.689215516937793E-11</v>
      </c>
      <c r="AH38">
        <v>3.208859712714576E-13</v>
      </c>
      <c r="AI38" t="b">
        <v>1</v>
      </c>
      <c r="AJ38" t="b">
        <v>1</v>
      </c>
      <c r="AK38" t="b">
        <v>1</v>
      </c>
      <c r="AL38">
        <v>0.3826727080158889</v>
      </c>
      <c r="AM38" t="b">
        <v>1</v>
      </c>
    </row>
    <row r="39" spans="1:39">
      <c r="A39" t="s">
        <v>140</v>
      </c>
      <c r="B39">
        <v>25</v>
      </c>
      <c r="C39" t="s">
        <v>141</v>
      </c>
      <c r="D39">
        <v>1.875</v>
      </c>
      <c r="E39">
        <v>30</v>
      </c>
      <c r="F39">
        <v>98</v>
      </c>
      <c r="G39">
        <v>10</v>
      </c>
      <c r="H39">
        <v>0.62</v>
      </c>
      <c r="I39">
        <v>25</v>
      </c>
      <c r="J39">
        <v>78.80595469107678</v>
      </c>
      <c r="K39">
        <v>4.999999999999999</v>
      </c>
      <c r="L39">
        <v>83.80595469107676</v>
      </c>
      <c r="M39">
        <v>0</v>
      </c>
      <c r="N39">
        <v>-1.4210854715202E-14</v>
      </c>
      <c r="O39">
        <v>1.834375</v>
      </c>
      <c r="P39">
        <v>0.0326814340875264</v>
      </c>
      <c r="Q39">
        <v>28.703125</v>
      </c>
      <c r="R39" t="s">
        <v>126</v>
      </c>
      <c r="S39">
        <v>0.45</v>
      </c>
      <c r="T39">
        <v>90</v>
      </c>
      <c r="U39">
        <v>80</v>
      </c>
      <c r="V39">
        <v>0.0089237129687126</v>
      </c>
      <c r="W39">
        <v>72.69485499071611</v>
      </c>
      <c r="X39">
        <v>66.328125</v>
      </c>
      <c r="Y39">
        <v>59.67718933329716</v>
      </c>
      <c r="Z39">
        <v>0.2983859466664857</v>
      </c>
      <c r="AA39">
        <v>0</v>
      </c>
      <c r="AC39">
        <v>83.67349873537009</v>
      </c>
      <c r="AD39">
        <v>83.67349873537009</v>
      </c>
      <c r="AE39">
        <v>0.1324559557799185</v>
      </c>
      <c r="AF39">
        <v>10.8268936118815</v>
      </c>
      <c r="AG39">
        <v>-7.324360562499521E-11</v>
      </c>
      <c r="AH39">
        <v>8.739666041032979E-13</v>
      </c>
      <c r="AI39" t="b">
        <v>1</v>
      </c>
      <c r="AJ39" t="b">
        <v>1</v>
      </c>
      <c r="AK39" t="b">
        <v>1</v>
      </c>
      <c r="AL39">
        <v>0.3816367910476401</v>
      </c>
      <c r="AM39" t="b">
        <v>1</v>
      </c>
    </row>
    <row r="40" spans="1:39">
      <c r="A40" t="s">
        <v>140</v>
      </c>
      <c r="B40">
        <v>25</v>
      </c>
      <c r="C40" t="s">
        <v>141</v>
      </c>
      <c r="D40">
        <v>1.875</v>
      </c>
      <c r="E40">
        <v>30</v>
      </c>
      <c r="F40">
        <v>98</v>
      </c>
      <c r="G40">
        <v>10</v>
      </c>
      <c r="H40">
        <v>0.62</v>
      </c>
      <c r="I40">
        <v>25</v>
      </c>
      <c r="J40">
        <v>78.80595469107678</v>
      </c>
      <c r="K40">
        <v>4.999999999999999</v>
      </c>
      <c r="L40">
        <v>83.80595469107676</v>
      </c>
      <c r="M40">
        <v>0</v>
      </c>
      <c r="N40">
        <v>-1.4210854715202E-14</v>
      </c>
      <c r="O40">
        <v>1.834375</v>
      </c>
      <c r="P40">
        <v>0.0326814340875264</v>
      </c>
      <c r="Q40">
        <v>28.703125</v>
      </c>
      <c r="R40" t="s">
        <v>127</v>
      </c>
      <c r="S40">
        <v>0.45</v>
      </c>
      <c r="T40">
        <v>90</v>
      </c>
      <c r="U40">
        <v>100</v>
      </c>
      <c r="V40">
        <v>0.0125198135487411</v>
      </c>
      <c r="W40">
        <v>61.69135811111906</v>
      </c>
      <c r="X40">
        <v>61.421875</v>
      </c>
      <c r="Y40">
        <v>51.78208148618589</v>
      </c>
      <c r="Z40">
        <v>0.2589104074309294</v>
      </c>
      <c r="AA40">
        <v>0</v>
      </c>
      <c r="AC40">
        <v>83.72283737769519</v>
      </c>
      <c r="AD40">
        <v>83.72283737769519</v>
      </c>
      <c r="AE40">
        <v>0.0831173134022927</v>
      </c>
      <c r="AF40">
        <v>8.272600706159492</v>
      </c>
      <c r="AG40">
        <v>-2.071461058239521E-11</v>
      </c>
      <c r="AH40">
        <v>2.471734933245835E-13</v>
      </c>
      <c r="AI40" t="b">
        <v>1</v>
      </c>
      <c r="AJ40" t="b">
        <v>1</v>
      </c>
      <c r="AK40" t="b">
        <v>1</v>
      </c>
      <c r="AL40">
        <v>0.3638114579953253</v>
      </c>
      <c r="AM40" t="b">
        <v>1</v>
      </c>
    </row>
    <row r="41" spans="1:39">
      <c r="A41" t="s">
        <v>140</v>
      </c>
      <c r="B41">
        <v>25</v>
      </c>
      <c r="C41" t="s">
        <v>141</v>
      </c>
      <c r="D41">
        <v>1.875</v>
      </c>
      <c r="E41">
        <v>30</v>
      </c>
      <c r="F41">
        <v>98</v>
      </c>
      <c r="G41">
        <v>10</v>
      </c>
      <c r="H41">
        <v>0.62</v>
      </c>
      <c r="I41">
        <v>25</v>
      </c>
      <c r="J41">
        <v>78.80595469107678</v>
      </c>
      <c r="K41">
        <v>4.999999999999999</v>
      </c>
      <c r="L41">
        <v>83.80595469107676</v>
      </c>
      <c r="M41">
        <v>0</v>
      </c>
      <c r="N41">
        <v>-1.4210854715202E-14</v>
      </c>
      <c r="O41">
        <v>1.834375</v>
      </c>
      <c r="P41">
        <v>0.0326814340875264</v>
      </c>
      <c r="Q41">
        <v>28.703125</v>
      </c>
      <c r="R41" t="s">
        <v>128</v>
      </c>
      <c r="S41">
        <v>0.6</v>
      </c>
      <c r="T41">
        <v>120</v>
      </c>
      <c r="U41">
        <v>40</v>
      </c>
      <c r="V41">
        <v>0.0026275197392778</v>
      </c>
      <c r="W41">
        <v>91.96020672703391</v>
      </c>
      <c r="X41">
        <v>75.359375</v>
      </c>
      <c r="Y41">
        <v>75.55848089860017</v>
      </c>
      <c r="Z41">
        <v>0.3777924044930008</v>
      </c>
      <c r="AA41">
        <v>0</v>
      </c>
      <c r="AC41">
        <v>83.04641381927672</v>
      </c>
      <c r="AD41">
        <v>83.04641381927672</v>
      </c>
      <c r="AE41">
        <v>0.7595408718030648</v>
      </c>
      <c r="AF41">
        <v>23.96620303259612</v>
      </c>
      <c r="AG41">
        <v>-3.023470362961689E-12</v>
      </c>
      <c r="AH41">
        <v>3.607703502819964E-14</v>
      </c>
      <c r="AI41" t="b">
        <v>1</v>
      </c>
      <c r="AJ41" t="b">
        <v>1</v>
      </c>
      <c r="AK41" t="b">
        <v>1</v>
      </c>
      <c r="AL41">
        <v>0.362155833048746</v>
      </c>
      <c r="AM41" t="b">
        <v>1</v>
      </c>
    </row>
    <row r="42" spans="1:39">
      <c r="A42" t="s">
        <v>140</v>
      </c>
      <c r="B42">
        <v>25</v>
      </c>
      <c r="C42" t="s">
        <v>141</v>
      </c>
      <c r="D42">
        <v>1.875</v>
      </c>
      <c r="E42">
        <v>30</v>
      </c>
      <c r="F42">
        <v>98</v>
      </c>
      <c r="G42">
        <v>10</v>
      </c>
      <c r="H42">
        <v>0.62</v>
      </c>
      <c r="I42">
        <v>25</v>
      </c>
      <c r="J42">
        <v>78.80595469107678</v>
      </c>
      <c r="K42">
        <v>4.999999999999999</v>
      </c>
      <c r="L42">
        <v>83.80595469107676</v>
      </c>
      <c r="M42">
        <v>0</v>
      </c>
      <c r="N42">
        <v>-1.4210854715202E-14</v>
      </c>
      <c r="O42">
        <v>1.834375</v>
      </c>
      <c r="P42">
        <v>0.0326814340875264</v>
      </c>
      <c r="Q42">
        <v>28.703125</v>
      </c>
      <c r="R42" t="s">
        <v>129</v>
      </c>
      <c r="S42">
        <v>0.6</v>
      </c>
      <c r="T42">
        <v>120</v>
      </c>
      <c r="U42">
        <v>60</v>
      </c>
      <c r="V42">
        <v>0.0055001855599035</v>
      </c>
      <c r="W42">
        <v>83.17030536305995</v>
      </c>
      <c r="X42">
        <v>70.640625</v>
      </c>
      <c r="Y42">
        <v>67.97057892330716</v>
      </c>
      <c r="Z42">
        <v>0.3398528946165358</v>
      </c>
      <c r="AA42">
        <v>0</v>
      </c>
      <c r="AC42">
        <v>83.55406940868423</v>
      </c>
      <c r="AD42">
        <v>83.55406940868423</v>
      </c>
      <c r="AE42">
        <v>0.2518852824194278</v>
      </c>
      <c r="AF42">
        <v>13.5532295718258</v>
      </c>
      <c r="AG42">
        <v>-2.689215516937793E-11</v>
      </c>
      <c r="AH42">
        <v>3.208859712714576E-13</v>
      </c>
      <c r="AI42" t="b">
        <v>1</v>
      </c>
      <c r="AJ42" t="b">
        <v>1</v>
      </c>
      <c r="AK42" t="b">
        <v>1</v>
      </c>
      <c r="AL42">
        <v>0.3714688750915229</v>
      </c>
      <c r="AM42" t="b">
        <v>1</v>
      </c>
    </row>
    <row r="43" spans="1:39">
      <c r="A43" t="s">
        <v>140</v>
      </c>
      <c r="B43">
        <v>25</v>
      </c>
      <c r="C43" t="s">
        <v>141</v>
      </c>
      <c r="D43">
        <v>1.875</v>
      </c>
      <c r="E43">
        <v>30</v>
      </c>
      <c r="F43">
        <v>98</v>
      </c>
      <c r="G43">
        <v>10</v>
      </c>
      <c r="H43">
        <v>0.62</v>
      </c>
      <c r="I43">
        <v>25</v>
      </c>
      <c r="J43">
        <v>78.80595469107678</v>
      </c>
      <c r="K43">
        <v>4.999999999999999</v>
      </c>
      <c r="L43">
        <v>83.80595469107676</v>
      </c>
      <c r="M43">
        <v>0</v>
      </c>
      <c r="N43">
        <v>-1.4210854715202E-14</v>
      </c>
      <c r="O43">
        <v>1.834375</v>
      </c>
      <c r="P43">
        <v>0.0326814340875264</v>
      </c>
      <c r="Q43">
        <v>28.703125</v>
      </c>
      <c r="R43" t="s">
        <v>130</v>
      </c>
      <c r="S43">
        <v>0.6</v>
      </c>
      <c r="T43">
        <v>120</v>
      </c>
      <c r="U43">
        <v>80</v>
      </c>
      <c r="V43">
        <v>0.0089237129687126</v>
      </c>
      <c r="W43">
        <v>72.69485499071611</v>
      </c>
      <c r="X43">
        <v>66.328125</v>
      </c>
      <c r="Y43">
        <v>59.67718933329716</v>
      </c>
      <c r="Z43">
        <v>0.2983859466664857</v>
      </c>
      <c r="AA43">
        <v>0</v>
      </c>
      <c r="AC43">
        <v>83.67349873537009</v>
      </c>
      <c r="AD43">
        <v>83.67349873537009</v>
      </c>
      <c r="AE43">
        <v>0.1324559557799185</v>
      </c>
      <c r="AF43">
        <v>9.311448733652718</v>
      </c>
      <c r="AG43">
        <v>-7.324360562499521E-11</v>
      </c>
      <c r="AH43">
        <v>8.739666041032979E-13</v>
      </c>
      <c r="AI43" t="b">
        <v>1</v>
      </c>
      <c r="AJ43" t="b">
        <v>1</v>
      </c>
      <c r="AK43" t="b">
        <v>1</v>
      </c>
      <c r="AL43">
        <v>0.3667168340180069</v>
      </c>
      <c r="AM43" t="b">
        <v>1</v>
      </c>
    </row>
    <row r="44" spans="1:39">
      <c r="A44" t="s">
        <v>140</v>
      </c>
      <c r="B44">
        <v>25</v>
      </c>
      <c r="C44" t="s">
        <v>141</v>
      </c>
      <c r="D44">
        <v>1.875</v>
      </c>
      <c r="E44">
        <v>30</v>
      </c>
      <c r="F44">
        <v>98</v>
      </c>
      <c r="G44">
        <v>10</v>
      </c>
      <c r="H44">
        <v>0.62</v>
      </c>
      <c r="I44">
        <v>25</v>
      </c>
      <c r="J44">
        <v>78.80595469107678</v>
      </c>
      <c r="K44">
        <v>4.999999999999999</v>
      </c>
      <c r="L44">
        <v>83.80595469107676</v>
      </c>
      <c r="M44">
        <v>0</v>
      </c>
      <c r="N44">
        <v>-1.4210854715202E-14</v>
      </c>
      <c r="O44">
        <v>1.834375</v>
      </c>
      <c r="P44">
        <v>0.0326814340875264</v>
      </c>
      <c r="Q44">
        <v>28.703125</v>
      </c>
      <c r="R44" t="s">
        <v>131</v>
      </c>
      <c r="S44">
        <v>0.6</v>
      </c>
      <c r="T44">
        <v>120</v>
      </c>
      <c r="U44">
        <v>100</v>
      </c>
      <c r="V44">
        <v>0.0125198135487411</v>
      </c>
      <c r="W44">
        <v>61.69135811111906</v>
      </c>
      <c r="X44">
        <v>61.421875</v>
      </c>
      <c r="Y44">
        <v>51.78208148618589</v>
      </c>
      <c r="Z44">
        <v>0.2589104074309294</v>
      </c>
      <c r="AA44">
        <v>0</v>
      </c>
      <c r="AC44">
        <v>83.72283737769519</v>
      </c>
      <c r="AD44">
        <v>83.72283737769519</v>
      </c>
      <c r="AE44">
        <v>0.0831173134022927</v>
      </c>
      <c r="AF44">
        <v>7.060222337561834</v>
      </c>
      <c r="AG44">
        <v>-2.071461058239521E-11</v>
      </c>
      <c r="AH44">
        <v>2.471734933245835E-13</v>
      </c>
      <c r="AI44" t="b">
        <v>1</v>
      </c>
      <c r="AJ44" t="b">
        <v>1</v>
      </c>
      <c r="AK44" t="b">
        <v>1</v>
      </c>
      <c r="AL44">
        <v>0.3940662499517202</v>
      </c>
      <c r="AM44" t="b">
        <v>1</v>
      </c>
    </row>
    <row r="45" spans="1:39">
      <c r="A45" t="s">
        <v>140</v>
      </c>
      <c r="B45">
        <v>25</v>
      </c>
      <c r="C45" t="s">
        <v>141</v>
      </c>
      <c r="D45">
        <v>1.875</v>
      </c>
      <c r="E45">
        <v>30</v>
      </c>
      <c r="F45">
        <v>98</v>
      </c>
      <c r="G45">
        <v>10</v>
      </c>
      <c r="H45">
        <v>0.62</v>
      </c>
      <c r="I45">
        <v>25</v>
      </c>
      <c r="J45">
        <v>78.80595469107678</v>
      </c>
      <c r="K45">
        <v>4.999999999999999</v>
      </c>
      <c r="L45">
        <v>83.80595469107676</v>
      </c>
      <c r="M45">
        <v>0</v>
      </c>
      <c r="N45">
        <v>-1.4210854715202E-14</v>
      </c>
      <c r="O45">
        <v>1.834375</v>
      </c>
      <c r="P45">
        <v>0.0326814340875264</v>
      </c>
      <c r="Q45">
        <v>28.703125</v>
      </c>
      <c r="R45" t="s">
        <v>132</v>
      </c>
      <c r="S45">
        <v>0.75</v>
      </c>
      <c r="T45">
        <v>150</v>
      </c>
      <c r="U45">
        <v>40</v>
      </c>
      <c r="V45">
        <v>0.0026275197392778</v>
      </c>
      <c r="W45">
        <v>91.96020672703391</v>
      </c>
      <c r="X45">
        <v>75.359375</v>
      </c>
      <c r="Y45">
        <v>75.55848089860017</v>
      </c>
      <c r="Z45">
        <v>0.3777924044930008</v>
      </c>
      <c r="AA45">
        <v>0</v>
      </c>
      <c r="AC45">
        <v>83.04641381927672</v>
      </c>
      <c r="AD45">
        <v>83.04641381927672</v>
      </c>
      <c r="AE45">
        <v>0.7595408718030648</v>
      </c>
      <c r="AF45">
        <v>21.89788895523915</v>
      </c>
      <c r="AG45">
        <v>-3.023470362961689E-12</v>
      </c>
      <c r="AH45">
        <v>3.607703502819964E-14</v>
      </c>
      <c r="AI45" t="b">
        <v>1</v>
      </c>
      <c r="AJ45" t="b">
        <v>1</v>
      </c>
      <c r="AK45" t="b">
        <v>1</v>
      </c>
      <c r="AL45">
        <v>0.3695956250885501</v>
      </c>
      <c r="AM45" t="b">
        <v>1</v>
      </c>
    </row>
    <row r="46" spans="1:39">
      <c r="A46" t="s">
        <v>140</v>
      </c>
      <c r="B46">
        <v>25</v>
      </c>
      <c r="C46" t="s">
        <v>141</v>
      </c>
      <c r="D46">
        <v>1.875</v>
      </c>
      <c r="E46">
        <v>30</v>
      </c>
      <c r="F46">
        <v>98</v>
      </c>
      <c r="G46">
        <v>10</v>
      </c>
      <c r="H46">
        <v>0.62</v>
      </c>
      <c r="I46">
        <v>25</v>
      </c>
      <c r="J46">
        <v>78.80595469107678</v>
      </c>
      <c r="K46">
        <v>4.999999999999999</v>
      </c>
      <c r="L46">
        <v>83.80595469107676</v>
      </c>
      <c r="M46">
        <v>0</v>
      </c>
      <c r="N46">
        <v>-1.4210854715202E-14</v>
      </c>
      <c r="O46">
        <v>1.834375</v>
      </c>
      <c r="P46">
        <v>0.0326814340875264</v>
      </c>
      <c r="Q46">
        <v>28.703125</v>
      </c>
      <c r="R46" t="s">
        <v>133</v>
      </c>
      <c r="S46">
        <v>0.75</v>
      </c>
      <c r="T46">
        <v>150</v>
      </c>
      <c r="U46">
        <v>60</v>
      </c>
      <c r="V46">
        <v>0.0055001855599035</v>
      </c>
      <c r="W46">
        <v>83.17030536305995</v>
      </c>
      <c r="X46">
        <v>70.640625</v>
      </c>
      <c r="Y46">
        <v>67.97057892330716</v>
      </c>
      <c r="Z46">
        <v>0.3398528946165358</v>
      </c>
      <c r="AA46">
        <v>0</v>
      </c>
      <c r="AC46">
        <v>83.55406940868423</v>
      </c>
      <c r="AD46">
        <v>83.55406940868423</v>
      </c>
      <c r="AE46">
        <v>0.2518852824194278</v>
      </c>
      <c r="AF46">
        <v>12.17432446931406</v>
      </c>
      <c r="AG46">
        <v>-2.689215516937793E-11</v>
      </c>
      <c r="AH46">
        <v>3.208859712714576E-13</v>
      </c>
      <c r="AI46" t="b">
        <v>1</v>
      </c>
      <c r="AJ46" t="b">
        <v>1</v>
      </c>
      <c r="AK46" t="b">
        <v>1</v>
      </c>
      <c r="AL46">
        <v>0.3752949169138446</v>
      </c>
      <c r="AM46" t="b">
        <v>1</v>
      </c>
    </row>
    <row r="47" spans="1:39">
      <c r="A47" t="s">
        <v>140</v>
      </c>
      <c r="B47">
        <v>25</v>
      </c>
      <c r="C47" t="s">
        <v>141</v>
      </c>
      <c r="D47">
        <v>1.875</v>
      </c>
      <c r="E47">
        <v>30</v>
      </c>
      <c r="F47">
        <v>98</v>
      </c>
      <c r="G47">
        <v>10</v>
      </c>
      <c r="H47">
        <v>0.62</v>
      </c>
      <c r="I47">
        <v>25</v>
      </c>
      <c r="J47">
        <v>78.80595469107678</v>
      </c>
      <c r="K47">
        <v>4.999999999999999</v>
      </c>
      <c r="L47">
        <v>83.80595469107676</v>
      </c>
      <c r="M47">
        <v>0</v>
      </c>
      <c r="N47">
        <v>-1.4210854715202E-14</v>
      </c>
      <c r="O47">
        <v>1.834375</v>
      </c>
      <c r="P47">
        <v>0.0326814340875264</v>
      </c>
      <c r="Q47">
        <v>28.703125</v>
      </c>
      <c r="R47" t="s">
        <v>134</v>
      </c>
      <c r="S47">
        <v>0.75</v>
      </c>
      <c r="T47">
        <v>150</v>
      </c>
      <c r="U47">
        <v>80</v>
      </c>
      <c r="V47">
        <v>0.0089237129687126</v>
      </c>
      <c r="W47">
        <v>72.69485499071611</v>
      </c>
      <c r="X47">
        <v>66.328125</v>
      </c>
      <c r="Y47">
        <v>59.67718933329716</v>
      </c>
      <c r="Z47">
        <v>0.2983859466664857</v>
      </c>
      <c r="AA47">
        <v>0</v>
      </c>
      <c r="AC47">
        <v>83.67349873537009</v>
      </c>
      <c r="AD47">
        <v>83.67349873537009</v>
      </c>
      <c r="AE47">
        <v>0.1324559557799185</v>
      </c>
      <c r="AF47">
        <v>8.277248124423574</v>
      </c>
      <c r="AG47">
        <v>-7.324360562499521E-11</v>
      </c>
      <c r="AH47">
        <v>8.739666041032979E-13</v>
      </c>
      <c r="AI47" t="b">
        <v>1</v>
      </c>
      <c r="AJ47" t="b">
        <v>1</v>
      </c>
      <c r="AK47" t="b">
        <v>1</v>
      </c>
      <c r="AL47">
        <v>0.3755050420295447</v>
      </c>
      <c r="AM47" t="b">
        <v>1</v>
      </c>
    </row>
    <row r="48" spans="1:39">
      <c r="A48" t="s">
        <v>140</v>
      </c>
      <c r="B48">
        <v>25</v>
      </c>
      <c r="C48" t="s">
        <v>141</v>
      </c>
      <c r="D48">
        <v>1.875</v>
      </c>
      <c r="E48">
        <v>30</v>
      </c>
      <c r="F48">
        <v>98</v>
      </c>
      <c r="G48">
        <v>10</v>
      </c>
      <c r="H48">
        <v>0.62</v>
      </c>
      <c r="I48">
        <v>25</v>
      </c>
      <c r="J48">
        <v>78.80595469107678</v>
      </c>
      <c r="K48">
        <v>4.999999999999999</v>
      </c>
      <c r="L48">
        <v>83.80595469107676</v>
      </c>
      <c r="M48">
        <v>0</v>
      </c>
      <c r="N48">
        <v>-1.4210854715202E-14</v>
      </c>
      <c r="O48">
        <v>1.834375</v>
      </c>
      <c r="P48">
        <v>0.0326814340875264</v>
      </c>
      <c r="Q48">
        <v>28.703125</v>
      </c>
      <c r="R48" t="s">
        <v>135</v>
      </c>
      <c r="S48">
        <v>0.75</v>
      </c>
      <c r="T48">
        <v>150</v>
      </c>
      <c r="U48">
        <v>100</v>
      </c>
      <c r="V48">
        <v>0.0125198135487411</v>
      </c>
      <c r="W48">
        <v>61.69135811111906</v>
      </c>
      <c r="X48">
        <v>61.421875</v>
      </c>
      <c r="Y48">
        <v>51.78208148618589</v>
      </c>
      <c r="Z48">
        <v>0.2589104074309294</v>
      </c>
      <c r="AA48">
        <v>0</v>
      </c>
      <c r="AC48">
        <v>83.72283737769519</v>
      </c>
      <c r="AD48">
        <v>83.72283737769519</v>
      </c>
      <c r="AE48">
        <v>0.0831173134022927</v>
      </c>
      <c r="AF48">
        <v>6.232844402318927</v>
      </c>
      <c r="AG48">
        <v>-2.071461058239521E-11</v>
      </c>
      <c r="AH48">
        <v>2.471734933245835E-13</v>
      </c>
      <c r="AI48" t="b">
        <v>1</v>
      </c>
      <c r="AJ48" t="b">
        <v>1</v>
      </c>
      <c r="AK48" t="b">
        <v>1</v>
      </c>
      <c r="AL48">
        <v>0.3677797090495005</v>
      </c>
      <c r="AM48" t="b">
        <v>1</v>
      </c>
    </row>
    <row r="49" spans="1:39">
      <c r="A49" t="s">
        <v>140</v>
      </c>
      <c r="B49">
        <v>25</v>
      </c>
      <c r="C49" t="s">
        <v>141</v>
      </c>
      <c r="D49">
        <v>1.875</v>
      </c>
      <c r="E49">
        <v>30</v>
      </c>
      <c r="F49">
        <v>98</v>
      </c>
      <c r="G49">
        <v>10</v>
      </c>
      <c r="H49">
        <v>0.62</v>
      </c>
      <c r="I49">
        <v>25</v>
      </c>
      <c r="J49">
        <v>78.80595469107678</v>
      </c>
      <c r="K49">
        <v>4.999999999999999</v>
      </c>
      <c r="L49">
        <v>83.80595469107676</v>
      </c>
      <c r="M49">
        <v>0</v>
      </c>
      <c r="N49">
        <v>-1.4210854715202E-14</v>
      </c>
      <c r="O49">
        <v>1.834375</v>
      </c>
      <c r="P49">
        <v>0.0326814340875264</v>
      </c>
      <c r="Q49">
        <v>28.703125</v>
      </c>
      <c r="R49" t="s">
        <v>136</v>
      </c>
      <c r="S49">
        <v>0.9</v>
      </c>
      <c r="T49">
        <v>180</v>
      </c>
      <c r="U49">
        <v>40</v>
      </c>
      <c r="V49">
        <v>0.0026275197392778</v>
      </c>
      <c r="W49">
        <v>91.96020672703391</v>
      </c>
      <c r="X49">
        <v>75.359375</v>
      </c>
      <c r="Y49">
        <v>75.55848089860017</v>
      </c>
      <c r="Z49">
        <v>0.3777924044930008</v>
      </c>
      <c r="AA49">
        <v>0</v>
      </c>
      <c r="AC49">
        <v>83.04641381927672</v>
      </c>
      <c r="AD49">
        <v>83.04641381927672</v>
      </c>
      <c r="AE49">
        <v>0.7595408718030648</v>
      </c>
      <c r="AF49">
        <v>20.37111606051029</v>
      </c>
      <c r="AG49">
        <v>-3.023470362961689E-12</v>
      </c>
      <c r="AH49">
        <v>3.607703502819964E-14</v>
      </c>
      <c r="AI49" t="b">
        <v>1</v>
      </c>
      <c r="AJ49" t="b">
        <v>1</v>
      </c>
      <c r="AK49" t="b">
        <v>1</v>
      </c>
      <c r="AL49">
        <v>0.3662938330089673</v>
      </c>
      <c r="AM49" t="b">
        <v>1</v>
      </c>
    </row>
    <row r="50" spans="1:39">
      <c r="A50" t="s">
        <v>140</v>
      </c>
      <c r="B50">
        <v>25</v>
      </c>
      <c r="C50" t="s">
        <v>141</v>
      </c>
      <c r="D50">
        <v>1.875</v>
      </c>
      <c r="E50">
        <v>30</v>
      </c>
      <c r="F50">
        <v>98</v>
      </c>
      <c r="G50">
        <v>10</v>
      </c>
      <c r="H50">
        <v>0.62</v>
      </c>
      <c r="I50">
        <v>25</v>
      </c>
      <c r="J50">
        <v>78.80595469107678</v>
      </c>
      <c r="K50">
        <v>4.999999999999999</v>
      </c>
      <c r="L50">
        <v>83.80595469107676</v>
      </c>
      <c r="M50">
        <v>0</v>
      </c>
      <c r="N50">
        <v>-1.4210854715202E-14</v>
      </c>
      <c r="O50">
        <v>1.834375</v>
      </c>
      <c r="P50">
        <v>0.0326814340875264</v>
      </c>
      <c r="Q50">
        <v>28.703125</v>
      </c>
      <c r="R50" t="s">
        <v>137</v>
      </c>
      <c r="S50">
        <v>0.9</v>
      </c>
      <c r="T50">
        <v>180</v>
      </c>
      <c r="U50">
        <v>60</v>
      </c>
      <c r="V50">
        <v>0.0055001855599035</v>
      </c>
      <c r="W50">
        <v>83.17030536305995</v>
      </c>
      <c r="X50">
        <v>70.640625</v>
      </c>
      <c r="Y50">
        <v>67.97057892330716</v>
      </c>
      <c r="Z50">
        <v>0.3398528946165358</v>
      </c>
      <c r="AA50">
        <v>0</v>
      </c>
      <c r="AC50">
        <v>83.55406940868423</v>
      </c>
      <c r="AD50">
        <v>83.55406940868423</v>
      </c>
      <c r="AE50">
        <v>0.2518852824194278</v>
      </c>
      <c r="AF50">
        <v>11.15645213263286</v>
      </c>
      <c r="AG50">
        <v>-2.689215516937793E-11</v>
      </c>
      <c r="AH50">
        <v>3.208859712714576E-13</v>
      </c>
      <c r="AI50" t="b">
        <v>1</v>
      </c>
      <c r="AJ50" t="b">
        <v>1</v>
      </c>
      <c r="AK50" t="b">
        <v>1</v>
      </c>
      <c r="AL50">
        <v>0.3791167499730363</v>
      </c>
      <c r="AM50" t="b">
        <v>1</v>
      </c>
    </row>
    <row r="51" spans="1:39">
      <c r="A51" t="s">
        <v>140</v>
      </c>
      <c r="B51">
        <v>25</v>
      </c>
      <c r="C51" t="s">
        <v>141</v>
      </c>
      <c r="D51">
        <v>1.875</v>
      </c>
      <c r="E51">
        <v>30</v>
      </c>
      <c r="F51">
        <v>98</v>
      </c>
      <c r="G51">
        <v>10</v>
      </c>
      <c r="H51">
        <v>0.62</v>
      </c>
      <c r="I51">
        <v>25</v>
      </c>
      <c r="J51">
        <v>78.80595469107678</v>
      </c>
      <c r="K51">
        <v>4.999999999999999</v>
      </c>
      <c r="L51">
        <v>83.80595469107676</v>
      </c>
      <c r="M51">
        <v>0</v>
      </c>
      <c r="N51">
        <v>-1.4210854715202E-14</v>
      </c>
      <c r="O51">
        <v>1.834375</v>
      </c>
      <c r="P51">
        <v>0.0326814340875264</v>
      </c>
      <c r="Q51">
        <v>28.703125</v>
      </c>
      <c r="R51" t="s">
        <v>138</v>
      </c>
      <c r="S51">
        <v>0.9</v>
      </c>
      <c r="T51">
        <v>180</v>
      </c>
      <c r="U51">
        <v>80</v>
      </c>
      <c r="V51">
        <v>0.0089237129687126</v>
      </c>
      <c r="W51">
        <v>72.69485499071611</v>
      </c>
      <c r="X51">
        <v>66.328125</v>
      </c>
      <c r="Y51">
        <v>59.67718933329716</v>
      </c>
      <c r="Z51">
        <v>0.2983859466664857</v>
      </c>
      <c r="AA51">
        <v>0</v>
      </c>
      <c r="AC51">
        <v>83.67349873537009</v>
      </c>
      <c r="AD51">
        <v>83.67349873537009</v>
      </c>
      <c r="AE51">
        <v>0.1324559557799185</v>
      </c>
      <c r="AF51">
        <v>7.513826069590907</v>
      </c>
      <c r="AG51">
        <v>-7.324360562499521E-11</v>
      </c>
      <c r="AH51">
        <v>8.739666041032979E-13</v>
      </c>
      <c r="AI51" t="b">
        <v>1</v>
      </c>
      <c r="AJ51" t="b">
        <v>1</v>
      </c>
      <c r="AK51" t="b">
        <v>1</v>
      </c>
      <c r="AL51">
        <v>0.3777931249933317</v>
      </c>
      <c r="AM51" t="b">
        <v>1</v>
      </c>
    </row>
    <row r="52" spans="1:39">
      <c r="A52" t="s">
        <v>140</v>
      </c>
      <c r="B52">
        <v>25</v>
      </c>
      <c r="C52" t="s">
        <v>141</v>
      </c>
      <c r="D52">
        <v>1.875</v>
      </c>
      <c r="E52">
        <v>30</v>
      </c>
      <c r="F52">
        <v>98</v>
      </c>
      <c r="G52">
        <v>10</v>
      </c>
      <c r="H52">
        <v>0.62</v>
      </c>
      <c r="I52">
        <v>25</v>
      </c>
      <c r="J52">
        <v>78.80595469107678</v>
      </c>
      <c r="K52">
        <v>4.999999999999999</v>
      </c>
      <c r="L52">
        <v>83.80595469107676</v>
      </c>
      <c r="M52">
        <v>0</v>
      </c>
      <c r="N52">
        <v>-1.4210854715202E-14</v>
      </c>
      <c r="O52">
        <v>1.834375</v>
      </c>
      <c r="P52">
        <v>0.0326814340875264</v>
      </c>
      <c r="Q52">
        <v>28.703125</v>
      </c>
      <c r="R52" t="s">
        <v>139</v>
      </c>
      <c r="S52">
        <v>0.9</v>
      </c>
      <c r="T52">
        <v>180</v>
      </c>
      <c r="U52">
        <v>100</v>
      </c>
      <c r="V52">
        <v>0.0125198135487411</v>
      </c>
      <c r="W52">
        <v>61.69135811111906</v>
      </c>
      <c r="X52">
        <v>61.421875</v>
      </c>
      <c r="Y52">
        <v>51.78208148618589</v>
      </c>
      <c r="Z52">
        <v>0.2589104074309294</v>
      </c>
      <c r="AA52">
        <v>0</v>
      </c>
      <c r="AC52">
        <v>83.72283737769519</v>
      </c>
      <c r="AD52">
        <v>83.72283737769519</v>
      </c>
      <c r="AE52">
        <v>0.0831173134022927</v>
      </c>
      <c r="AF52">
        <v>5.622092525985773</v>
      </c>
      <c r="AG52">
        <v>-2.071461058239521E-11</v>
      </c>
      <c r="AH52">
        <v>2.471734933245835E-13</v>
      </c>
      <c r="AI52" t="b">
        <v>1</v>
      </c>
      <c r="AJ52" t="b">
        <v>1</v>
      </c>
      <c r="AK52" t="b">
        <v>1</v>
      </c>
      <c r="AL52">
        <v>0.3689160420326516</v>
      </c>
      <c r="AM52" t="b">
        <v>1</v>
      </c>
    </row>
    <row r="53" spans="1:39">
      <c r="A53" t="s">
        <v>142</v>
      </c>
      <c r="B53">
        <v>25</v>
      </c>
      <c r="C53" t="s">
        <v>143</v>
      </c>
      <c r="D53">
        <v>1.875</v>
      </c>
      <c r="E53">
        <v>60</v>
      </c>
      <c r="F53">
        <v>98</v>
      </c>
      <c r="G53">
        <v>10</v>
      </c>
      <c r="H53">
        <v>0.62</v>
      </c>
      <c r="I53">
        <v>25</v>
      </c>
      <c r="J53">
        <v>78.80595469107676</v>
      </c>
      <c r="K53">
        <v>5</v>
      </c>
      <c r="L53">
        <v>83.80595469107675</v>
      </c>
      <c r="M53">
        <v>0</v>
      </c>
      <c r="N53">
        <v>1.4210854715202E-14</v>
      </c>
      <c r="O53">
        <v>1.834375</v>
      </c>
      <c r="P53">
        <v>0.0408993627491101</v>
      </c>
      <c r="Q53">
        <v>59.984375</v>
      </c>
      <c r="R53" t="s">
        <v>116</v>
      </c>
      <c r="S53">
        <v>0.15</v>
      </c>
      <c r="T53">
        <v>30</v>
      </c>
      <c r="U53">
        <v>40</v>
      </c>
      <c r="V53">
        <v>0.0408993627491099</v>
      </c>
      <c r="W53">
        <v>4.107825191113079E-13</v>
      </c>
      <c r="X53">
        <v>59.984375</v>
      </c>
      <c r="Y53">
        <v>30</v>
      </c>
      <c r="Z53">
        <v>0.15</v>
      </c>
      <c r="AA53">
        <v>48.53200548891729</v>
      </c>
      <c r="AB53">
        <v>51</v>
      </c>
      <c r="AC53">
        <v>35.14785024811717</v>
      </c>
      <c r="AD53">
        <v>83.67985573703447</v>
      </c>
      <c r="AE53">
        <v>0.1260989540424523</v>
      </c>
      <c r="AF53">
        <v>37.74676334159133</v>
      </c>
      <c r="AG53">
        <v>-1.611211164487258E-13</v>
      </c>
      <c r="AH53">
        <v>1.922549740560156E-15</v>
      </c>
      <c r="AI53" t="b">
        <v>0</v>
      </c>
      <c r="AJ53" t="b">
        <v>0</v>
      </c>
      <c r="AK53" t="b">
        <v>0</v>
      </c>
      <c r="AL53">
        <v>1.072700666962192</v>
      </c>
      <c r="AM53" t="b">
        <v>0</v>
      </c>
    </row>
    <row r="54" spans="1:39">
      <c r="A54" t="s">
        <v>142</v>
      </c>
      <c r="B54">
        <v>25</v>
      </c>
      <c r="C54" t="s">
        <v>143</v>
      </c>
      <c r="D54">
        <v>1.875</v>
      </c>
      <c r="E54">
        <v>30</v>
      </c>
      <c r="F54">
        <v>98</v>
      </c>
      <c r="G54">
        <v>10</v>
      </c>
      <c r="H54">
        <v>0.62</v>
      </c>
      <c r="I54">
        <v>25</v>
      </c>
      <c r="J54">
        <v>78.80595469107676</v>
      </c>
      <c r="K54">
        <v>5</v>
      </c>
      <c r="L54">
        <v>83.80595469107675</v>
      </c>
      <c r="M54">
        <v>0</v>
      </c>
      <c r="N54">
        <v>1.4210854715202E-14</v>
      </c>
      <c r="O54">
        <v>1.834375</v>
      </c>
      <c r="P54">
        <v>0.0408993627491101</v>
      </c>
      <c r="Q54">
        <v>59.984375</v>
      </c>
      <c r="R54" t="s">
        <v>117</v>
      </c>
      <c r="S54">
        <v>0.15</v>
      </c>
      <c r="T54">
        <v>30</v>
      </c>
      <c r="U54">
        <v>60</v>
      </c>
      <c r="V54">
        <v>0.0408993627491099</v>
      </c>
      <c r="W54">
        <v>4.107825191113079E-13</v>
      </c>
      <c r="X54">
        <v>59.984375</v>
      </c>
      <c r="Y54">
        <v>30</v>
      </c>
      <c r="Z54">
        <v>0.15</v>
      </c>
      <c r="AA54">
        <v>43.64592720047715</v>
      </c>
      <c r="AB54">
        <v>51.625</v>
      </c>
      <c r="AC54">
        <v>39.94242957314628</v>
      </c>
      <c r="AD54">
        <v>83.58835677362343</v>
      </c>
      <c r="AE54">
        <v>0.2175979174515111</v>
      </c>
      <c r="AF54">
        <v>24.45027087242368</v>
      </c>
      <c r="AG54">
        <v>1.807110017182367E-12</v>
      </c>
      <c r="AH54">
        <v>2.156302644416721E-14</v>
      </c>
      <c r="AI54" t="b">
        <v>0</v>
      </c>
      <c r="AJ54" t="b">
        <v>0</v>
      </c>
      <c r="AK54" t="b">
        <v>0</v>
      </c>
      <c r="AL54">
        <v>0.3598356250440702</v>
      </c>
      <c r="AM54" t="b">
        <v>0</v>
      </c>
    </row>
    <row r="55" spans="1:39">
      <c r="A55" t="s">
        <v>142</v>
      </c>
      <c r="B55">
        <v>25</v>
      </c>
      <c r="C55" t="s">
        <v>143</v>
      </c>
      <c r="D55">
        <v>1.875</v>
      </c>
      <c r="E55">
        <v>30</v>
      </c>
      <c r="F55">
        <v>98</v>
      </c>
      <c r="G55">
        <v>10</v>
      </c>
      <c r="H55">
        <v>0.62</v>
      </c>
      <c r="I55">
        <v>25</v>
      </c>
      <c r="J55">
        <v>78.80595469107676</v>
      </c>
      <c r="K55">
        <v>5</v>
      </c>
      <c r="L55">
        <v>83.80595469107675</v>
      </c>
      <c r="M55">
        <v>0</v>
      </c>
      <c r="N55">
        <v>1.4210854715202E-14</v>
      </c>
      <c r="O55">
        <v>1.834375</v>
      </c>
      <c r="P55">
        <v>0.0408993627491101</v>
      </c>
      <c r="Q55">
        <v>59.984375</v>
      </c>
      <c r="R55" t="s">
        <v>118</v>
      </c>
      <c r="S55">
        <v>0.15</v>
      </c>
      <c r="T55">
        <v>30</v>
      </c>
      <c r="U55">
        <v>80</v>
      </c>
      <c r="V55">
        <v>0.0408993627491099</v>
      </c>
      <c r="W55">
        <v>4.107825191113079E-13</v>
      </c>
      <c r="X55">
        <v>59.984375</v>
      </c>
      <c r="Y55">
        <v>30</v>
      </c>
      <c r="Z55">
        <v>0.15</v>
      </c>
      <c r="AA55">
        <v>38.13999985119469</v>
      </c>
      <c r="AB55">
        <v>52.40625</v>
      </c>
      <c r="AC55">
        <v>45.54136035453492</v>
      </c>
      <c r="AD55">
        <v>83.68136020572962</v>
      </c>
      <c r="AE55">
        <v>0.1245944853122728</v>
      </c>
      <c r="AF55">
        <v>18.19132131175387</v>
      </c>
      <c r="AG55">
        <v>3.484436350564835E-11</v>
      </c>
      <c r="AH55">
        <v>4.157743162057004E-13</v>
      </c>
      <c r="AI55" t="b">
        <v>0</v>
      </c>
      <c r="AJ55" t="b">
        <v>0</v>
      </c>
      <c r="AK55" t="b">
        <v>1</v>
      </c>
      <c r="AL55">
        <v>0.3496386669576168</v>
      </c>
      <c r="AM55" t="b">
        <v>0</v>
      </c>
    </row>
    <row r="56" spans="1:39">
      <c r="A56" t="s">
        <v>142</v>
      </c>
      <c r="B56">
        <v>25</v>
      </c>
      <c r="C56" t="s">
        <v>143</v>
      </c>
      <c r="D56">
        <v>1.875</v>
      </c>
      <c r="E56">
        <v>30</v>
      </c>
      <c r="F56">
        <v>98</v>
      </c>
      <c r="G56">
        <v>10</v>
      </c>
      <c r="H56">
        <v>0.62</v>
      </c>
      <c r="I56">
        <v>25</v>
      </c>
      <c r="J56">
        <v>78.80595469107676</v>
      </c>
      <c r="K56">
        <v>5</v>
      </c>
      <c r="L56">
        <v>83.80595469107675</v>
      </c>
      <c r="M56">
        <v>0</v>
      </c>
      <c r="N56">
        <v>1.4210854715202E-14</v>
      </c>
      <c r="O56">
        <v>1.834375</v>
      </c>
      <c r="P56">
        <v>0.0408993627491101</v>
      </c>
      <c r="Q56">
        <v>59.984375</v>
      </c>
      <c r="R56" t="s">
        <v>119</v>
      </c>
      <c r="S56">
        <v>0.15</v>
      </c>
      <c r="T56">
        <v>30</v>
      </c>
      <c r="U56">
        <v>100</v>
      </c>
      <c r="V56">
        <v>0.0408993627491099</v>
      </c>
      <c r="W56">
        <v>4.107825191113079E-13</v>
      </c>
      <c r="X56">
        <v>59.984375</v>
      </c>
      <c r="Y56">
        <v>30</v>
      </c>
      <c r="Z56">
        <v>0.15</v>
      </c>
      <c r="AA56">
        <v>32.47527698561066</v>
      </c>
      <c r="AB56">
        <v>53.21875</v>
      </c>
      <c r="AC56">
        <v>51.24954519209646</v>
      </c>
      <c r="AD56">
        <v>83.72482217770713</v>
      </c>
      <c r="AE56">
        <v>0.0811325131916235</v>
      </c>
      <c r="AF56">
        <v>14.53496315357151</v>
      </c>
      <c r="AG56">
        <v>1.780150332697516E-10</v>
      </c>
      <c r="AH56">
        <v>2.124133469106651E-12</v>
      </c>
      <c r="AI56" t="b">
        <v>0</v>
      </c>
      <c r="AJ56" t="b">
        <v>0</v>
      </c>
      <c r="AK56" t="b">
        <v>1</v>
      </c>
      <c r="AL56">
        <v>0.3689142919611186</v>
      </c>
      <c r="AM56" t="b">
        <v>0</v>
      </c>
    </row>
    <row r="57" spans="1:39">
      <c r="A57" t="s">
        <v>142</v>
      </c>
      <c r="B57">
        <v>25</v>
      </c>
      <c r="C57" t="s">
        <v>143</v>
      </c>
      <c r="D57">
        <v>1.875</v>
      </c>
      <c r="E57">
        <v>60</v>
      </c>
      <c r="F57">
        <v>98</v>
      </c>
      <c r="G57">
        <v>10</v>
      </c>
      <c r="H57">
        <v>0.62</v>
      </c>
      <c r="I57">
        <v>25</v>
      </c>
      <c r="J57">
        <v>78.80595469107676</v>
      </c>
      <c r="K57">
        <v>5</v>
      </c>
      <c r="L57">
        <v>83.80595469107675</v>
      </c>
      <c r="M57">
        <v>0</v>
      </c>
      <c r="N57">
        <v>1.4210854715202E-14</v>
      </c>
      <c r="O57">
        <v>1.834375</v>
      </c>
      <c r="P57">
        <v>0.0408993627491101</v>
      </c>
      <c r="Q57">
        <v>59.984375</v>
      </c>
      <c r="R57" t="s">
        <v>120</v>
      </c>
      <c r="S57">
        <v>0.3</v>
      </c>
      <c r="T57">
        <v>60</v>
      </c>
      <c r="U57">
        <v>40</v>
      </c>
      <c r="V57">
        <v>0.0393920406653326</v>
      </c>
      <c r="W57">
        <v>3.685441489697161</v>
      </c>
      <c r="X57">
        <v>65.015625</v>
      </c>
      <c r="Y57">
        <v>60</v>
      </c>
      <c r="Z57">
        <v>0.3</v>
      </c>
      <c r="AA57">
        <v>17.25014296779222</v>
      </c>
      <c r="AB57">
        <v>64.96875</v>
      </c>
      <c r="AC57">
        <v>66.41001717483462</v>
      </c>
      <c r="AD57">
        <v>83.66016014262685</v>
      </c>
      <c r="AE57">
        <v>0.1457945484550363</v>
      </c>
      <c r="AF57">
        <v>30.50078275700107</v>
      </c>
      <c r="AG57">
        <v>-5.137085201667446E-12</v>
      </c>
      <c r="AH57">
        <v>6.129737702533945E-14</v>
      </c>
      <c r="AI57" t="b">
        <v>0</v>
      </c>
      <c r="AJ57" t="b">
        <v>0</v>
      </c>
      <c r="AK57" t="b">
        <v>0</v>
      </c>
      <c r="AL57">
        <v>1.091824000002816</v>
      </c>
      <c r="AM57" t="b">
        <v>0</v>
      </c>
    </row>
    <row r="58" spans="1:39">
      <c r="A58" t="s">
        <v>142</v>
      </c>
      <c r="B58">
        <v>25</v>
      </c>
      <c r="C58" t="s">
        <v>143</v>
      </c>
      <c r="D58">
        <v>1.875</v>
      </c>
      <c r="E58">
        <v>30</v>
      </c>
      <c r="F58">
        <v>98</v>
      </c>
      <c r="G58">
        <v>10</v>
      </c>
      <c r="H58">
        <v>0.62</v>
      </c>
      <c r="I58">
        <v>25</v>
      </c>
      <c r="J58">
        <v>78.80595469107676</v>
      </c>
      <c r="K58">
        <v>5</v>
      </c>
      <c r="L58">
        <v>83.80595469107675</v>
      </c>
      <c r="M58">
        <v>0</v>
      </c>
      <c r="N58">
        <v>1.4210854715202E-14</v>
      </c>
      <c r="O58">
        <v>1.834375</v>
      </c>
      <c r="P58">
        <v>0.0408993627491101</v>
      </c>
      <c r="Q58">
        <v>59.984375</v>
      </c>
      <c r="R58" t="s">
        <v>121</v>
      </c>
      <c r="S58">
        <v>0.3</v>
      </c>
      <c r="T58">
        <v>60</v>
      </c>
      <c r="U58">
        <v>60</v>
      </c>
      <c r="V58">
        <v>0.0370087332055694</v>
      </c>
      <c r="W58">
        <v>9.512689885676441</v>
      </c>
      <c r="X58">
        <v>66.515625</v>
      </c>
      <c r="Y58">
        <v>60</v>
      </c>
      <c r="Z58">
        <v>0.3</v>
      </c>
      <c r="AA58">
        <v>11.2623151346879</v>
      </c>
      <c r="AB58">
        <v>66.46875</v>
      </c>
      <c r="AC58">
        <v>72.29619227960183</v>
      </c>
      <c r="AD58">
        <v>83.55850741428974</v>
      </c>
      <c r="AE58">
        <v>0.2474472768065944</v>
      </c>
      <c r="AF58">
        <v>18.70876956808725</v>
      </c>
      <c r="AG58">
        <v>-1.958053164052842E-11</v>
      </c>
      <c r="AH58">
        <v>2.336412933031507E-13</v>
      </c>
      <c r="AI58" t="b">
        <v>0</v>
      </c>
      <c r="AJ58" t="b">
        <v>0</v>
      </c>
      <c r="AK58" t="b">
        <v>1</v>
      </c>
      <c r="AL58">
        <v>0.3561704580206424</v>
      </c>
      <c r="AM58" t="b">
        <v>0</v>
      </c>
    </row>
    <row r="59" spans="1:39">
      <c r="A59" t="s">
        <v>142</v>
      </c>
      <c r="B59">
        <v>25</v>
      </c>
      <c r="C59" t="s">
        <v>143</v>
      </c>
      <c r="D59">
        <v>1.875</v>
      </c>
      <c r="E59">
        <v>30</v>
      </c>
      <c r="F59">
        <v>98</v>
      </c>
      <c r="G59">
        <v>10</v>
      </c>
      <c r="H59">
        <v>0.62</v>
      </c>
      <c r="I59">
        <v>25</v>
      </c>
      <c r="J59">
        <v>78.80595469107676</v>
      </c>
      <c r="K59">
        <v>5</v>
      </c>
      <c r="L59">
        <v>83.80595469107675</v>
      </c>
      <c r="M59">
        <v>0</v>
      </c>
      <c r="N59">
        <v>1.4210854715202E-14</v>
      </c>
      <c r="O59">
        <v>1.834375</v>
      </c>
      <c r="P59">
        <v>0.0408993627491101</v>
      </c>
      <c r="Q59">
        <v>59.984375</v>
      </c>
      <c r="R59" t="s">
        <v>122</v>
      </c>
      <c r="S59">
        <v>0.3</v>
      </c>
      <c r="T59">
        <v>60</v>
      </c>
      <c r="U59">
        <v>80</v>
      </c>
      <c r="V59">
        <v>0.0301868169319542</v>
      </c>
      <c r="W59">
        <v>26.19245165962625</v>
      </c>
      <c r="X59">
        <v>69.046875</v>
      </c>
      <c r="Y59">
        <v>60</v>
      </c>
      <c r="Z59">
        <v>0.3</v>
      </c>
      <c r="AA59">
        <v>4.636569406130253</v>
      </c>
      <c r="AB59">
        <v>69</v>
      </c>
      <c r="AC59">
        <v>79.03538961506807</v>
      </c>
      <c r="AD59">
        <v>83.6719590211983</v>
      </c>
      <c r="AE59">
        <v>0.1339956699288892</v>
      </c>
      <c r="AF59">
        <v>13.53893531504623</v>
      </c>
      <c r="AG59">
        <v>-5.04586372684912E-11</v>
      </c>
      <c r="AH59">
        <v>6.020889261925417E-13</v>
      </c>
      <c r="AI59" t="b">
        <v>0</v>
      </c>
      <c r="AJ59" t="b">
        <v>0</v>
      </c>
      <c r="AK59" t="b">
        <v>1</v>
      </c>
      <c r="AL59">
        <v>0.3758604590548202</v>
      </c>
      <c r="AM59" t="b">
        <v>0</v>
      </c>
    </row>
    <row r="60" spans="1:39">
      <c r="A60" t="s">
        <v>142</v>
      </c>
      <c r="B60">
        <v>25</v>
      </c>
      <c r="C60" t="s">
        <v>143</v>
      </c>
      <c r="D60">
        <v>1.875</v>
      </c>
      <c r="E60">
        <v>30</v>
      </c>
      <c r="F60">
        <v>98</v>
      </c>
      <c r="G60">
        <v>10</v>
      </c>
      <c r="H60">
        <v>0.62</v>
      </c>
      <c r="I60">
        <v>25</v>
      </c>
      <c r="J60">
        <v>78.80595469107676</v>
      </c>
      <c r="K60">
        <v>5</v>
      </c>
      <c r="L60">
        <v>83.80595469107675</v>
      </c>
      <c r="M60">
        <v>0</v>
      </c>
      <c r="N60">
        <v>1.4210854715202E-14</v>
      </c>
      <c r="O60">
        <v>1.834375</v>
      </c>
      <c r="P60">
        <v>0.0408993627491101</v>
      </c>
      <c r="Q60">
        <v>59.984375</v>
      </c>
      <c r="R60" t="s">
        <v>123</v>
      </c>
      <c r="S60">
        <v>0.3</v>
      </c>
      <c r="T60">
        <v>60</v>
      </c>
      <c r="U60">
        <v>100</v>
      </c>
      <c r="V60">
        <v>0.013447550439721</v>
      </c>
      <c r="W60">
        <v>67.12039128283574</v>
      </c>
      <c r="X60">
        <v>74.765625</v>
      </c>
      <c r="Y60">
        <v>58.14574138984162</v>
      </c>
      <c r="Z60">
        <v>0.2907287069492081</v>
      </c>
      <c r="AA60">
        <v>0</v>
      </c>
      <c r="AC60">
        <v>83.72113303555521</v>
      </c>
      <c r="AD60">
        <v>83.72113303555521</v>
      </c>
      <c r="AE60">
        <v>0.08482165555461781</v>
      </c>
      <c r="AF60">
        <v>10.60702128191332</v>
      </c>
      <c r="AG60">
        <v>-3.308057994200198E-11</v>
      </c>
      <c r="AH60">
        <v>3.947282751439646E-13</v>
      </c>
      <c r="AI60" t="b">
        <v>1</v>
      </c>
      <c r="AJ60" t="b">
        <v>1</v>
      </c>
      <c r="AK60" t="b">
        <v>1</v>
      </c>
      <c r="AL60">
        <v>0.590041832998395</v>
      </c>
      <c r="AM60" t="b">
        <v>1</v>
      </c>
    </row>
    <row r="61" spans="1:39">
      <c r="A61" t="s">
        <v>142</v>
      </c>
      <c r="B61">
        <v>25</v>
      </c>
      <c r="C61" t="s">
        <v>143</v>
      </c>
      <c r="D61">
        <v>1.875</v>
      </c>
      <c r="E61">
        <v>30</v>
      </c>
      <c r="F61">
        <v>98</v>
      </c>
      <c r="G61">
        <v>10</v>
      </c>
      <c r="H61">
        <v>0.62</v>
      </c>
      <c r="I61">
        <v>25</v>
      </c>
      <c r="J61">
        <v>78.80595469107676</v>
      </c>
      <c r="K61">
        <v>5</v>
      </c>
      <c r="L61">
        <v>83.80595469107675</v>
      </c>
      <c r="M61">
        <v>0</v>
      </c>
      <c r="N61">
        <v>1.4210854715202E-14</v>
      </c>
      <c r="O61">
        <v>1.834375</v>
      </c>
      <c r="P61">
        <v>0.0408993627491101</v>
      </c>
      <c r="Q61">
        <v>59.984375</v>
      </c>
      <c r="R61" t="s">
        <v>124</v>
      </c>
      <c r="S61">
        <v>0.45</v>
      </c>
      <c r="T61">
        <v>90</v>
      </c>
      <c r="U61">
        <v>40</v>
      </c>
      <c r="V61">
        <v>0.0026530049766445</v>
      </c>
      <c r="W61">
        <v>93.51333419809276</v>
      </c>
      <c r="X61">
        <v>84.671875</v>
      </c>
      <c r="Y61">
        <v>76.95263462464018</v>
      </c>
      <c r="Z61">
        <v>0.3847631731232009</v>
      </c>
      <c r="AA61">
        <v>0</v>
      </c>
      <c r="AC61">
        <v>83.0276067728509</v>
      </c>
      <c r="AD61">
        <v>83.0276067728509</v>
      </c>
      <c r="AE61">
        <v>0.7783479182316346</v>
      </c>
      <c r="AF61">
        <v>27.29630291967872</v>
      </c>
      <c r="AG61">
        <v>-5.787148538161091E-12</v>
      </c>
      <c r="AH61">
        <v>6.905414489332557E-14</v>
      </c>
      <c r="AI61" t="b">
        <v>1</v>
      </c>
      <c r="AJ61" t="b">
        <v>1</v>
      </c>
      <c r="AK61" t="b">
        <v>0</v>
      </c>
      <c r="AL61">
        <v>0.4012735419673845</v>
      </c>
      <c r="AM61" t="b">
        <v>0</v>
      </c>
    </row>
    <row r="62" spans="1:39">
      <c r="A62" t="s">
        <v>142</v>
      </c>
      <c r="B62">
        <v>25</v>
      </c>
      <c r="C62" t="s">
        <v>143</v>
      </c>
      <c r="D62">
        <v>1.875</v>
      </c>
      <c r="E62">
        <v>30</v>
      </c>
      <c r="F62">
        <v>98</v>
      </c>
      <c r="G62">
        <v>10</v>
      </c>
      <c r="H62">
        <v>0.62</v>
      </c>
      <c r="I62">
        <v>25</v>
      </c>
      <c r="J62">
        <v>78.80595469107676</v>
      </c>
      <c r="K62">
        <v>5</v>
      </c>
      <c r="L62">
        <v>83.80595469107675</v>
      </c>
      <c r="M62">
        <v>0</v>
      </c>
      <c r="N62">
        <v>1.4210854715202E-14</v>
      </c>
      <c r="O62">
        <v>1.834375</v>
      </c>
      <c r="P62">
        <v>0.0408993627491101</v>
      </c>
      <c r="Q62">
        <v>59.984375</v>
      </c>
      <c r="R62" t="s">
        <v>125</v>
      </c>
      <c r="S62">
        <v>0.45</v>
      </c>
      <c r="T62">
        <v>90</v>
      </c>
      <c r="U62">
        <v>60</v>
      </c>
      <c r="V62">
        <v>0.0056315399026957</v>
      </c>
      <c r="W62">
        <v>86.23073924833149</v>
      </c>
      <c r="X62">
        <v>80.078125</v>
      </c>
      <c r="Y62">
        <v>70.96127919088005</v>
      </c>
      <c r="Z62">
        <v>0.3548063959544002</v>
      </c>
      <c r="AA62">
        <v>0</v>
      </c>
      <c r="AC62">
        <v>83.54864629690613</v>
      </c>
      <c r="AD62">
        <v>83.54864629690613</v>
      </c>
      <c r="AE62">
        <v>0.2573083941977669</v>
      </c>
      <c r="AF62">
        <v>15.87579941974908</v>
      </c>
      <c r="AG62">
        <v>-2.714539704129493E-11</v>
      </c>
      <c r="AH62">
        <v>3.239077359282829E-13</v>
      </c>
      <c r="AI62" t="b">
        <v>1</v>
      </c>
      <c r="AJ62" t="b">
        <v>1</v>
      </c>
      <c r="AK62" t="b">
        <v>1</v>
      </c>
      <c r="AL62">
        <v>0.3731726250844076</v>
      </c>
      <c r="AM62" t="b">
        <v>1</v>
      </c>
    </row>
    <row r="63" spans="1:39">
      <c r="A63" t="s">
        <v>142</v>
      </c>
      <c r="B63">
        <v>25</v>
      </c>
      <c r="C63" t="s">
        <v>143</v>
      </c>
      <c r="D63">
        <v>1.875</v>
      </c>
      <c r="E63">
        <v>30</v>
      </c>
      <c r="F63">
        <v>98</v>
      </c>
      <c r="G63">
        <v>10</v>
      </c>
      <c r="H63">
        <v>0.62</v>
      </c>
      <c r="I63">
        <v>25</v>
      </c>
      <c r="J63">
        <v>78.80595469107676</v>
      </c>
      <c r="K63">
        <v>5</v>
      </c>
      <c r="L63">
        <v>83.80595469107675</v>
      </c>
      <c r="M63">
        <v>0</v>
      </c>
      <c r="N63">
        <v>1.4210854715202E-14</v>
      </c>
      <c r="O63">
        <v>1.834375</v>
      </c>
      <c r="P63">
        <v>0.0408993627491101</v>
      </c>
      <c r="Q63">
        <v>59.984375</v>
      </c>
      <c r="R63" t="s">
        <v>126</v>
      </c>
      <c r="S63">
        <v>0.45</v>
      </c>
      <c r="T63">
        <v>90</v>
      </c>
      <c r="U63">
        <v>80</v>
      </c>
      <c r="V63">
        <v>0.0093329291395299</v>
      </c>
      <c r="W63">
        <v>77.1807468082544</v>
      </c>
      <c r="X63">
        <v>76.953125</v>
      </c>
      <c r="Y63">
        <v>64.50675846526737</v>
      </c>
      <c r="Z63">
        <v>0.3225337923263368</v>
      </c>
      <c r="AA63">
        <v>0</v>
      </c>
      <c r="AC63">
        <v>83.67073761116883</v>
      </c>
      <c r="AD63">
        <v>83.67073761116883</v>
      </c>
      <c r="AE63">
        <v>0.135217079986408</v>
      </c>
      <c r="AF63">
        <v>11.12947428951403</v>
      </c>
      <c r="AG63">
        <v>-7.849046412822247E-11</v>
      </c>
      <c r="AH63">
        <v>9.365738319854705E-13</v>
      </c>
      <c r="AI63" t="b">
        <v>1</v>
      </c>
      <c r="AJ63" t="b">
        <v>1</v>
      </c>
      <c r="AK63" t="b">
        <v>1</v>
      </c>
      <c r="AL63">
        <v>0.3920588330365717</v>
      </c>
      <c r="AM63" t="b">
        <v>1</v>
      </c>
    </row>
    <row r="64" spans="1:39">
      <c r="A64" t="s">
        <v>142</v>
      </c>
      <c r="B64">
        <v>25</v>
      </c>
      <c r="C64" t="s">
        <v>143</v>
      </c>
      <c r="D64">
        <v>1.875</v>
      </c>
      <c r="E64">
        <v>30</v>
      </c>
      <c r="F64">
        <v>98</v>
      </c>
      <c r="G64">
        <v>10</v>
      </c>
      <c r="H64">
        <v>0.62</v>
      </c>
      <c r="I64">
        <v>25</v>
      </c>
      <c r="J64">
        <v>78.80595469107676</v>
      </c>
      <c r="K64">
        <v>5</v>
      </c>
      <c r="L64">
        <v>83.80595469107675</v>
      </c>
      <c r="M64">
        <v>0</v>
      </c>
      <c r="N64">
        <v>1.4210854715202E-14</v>
      </c>
      <c r="O64">
        <v>1.834375</v>
      </c>
      <c r="P64">
        <v>0.0408993627491101</v>
      </c>
      <c r="Q64">
        <v>59.984375</v>
      </c>
      <c r="R64" t="s">
        <v>127</v>
      </c>
      <c r="S64">
        <v>0.45</v>
      </c>
      <c r="T64">
        <v>90</v>
      </c>
      <c r="U64">
        <v>100</v>
      </c>
      <c r="V64">
        <v>0.013447550439721</v>
      </c>
      <c r="W64">
        <v>67.12039128283574</v>
      </c>
      <c r="X64">
        <v>74.765625</v>
      </c>
      <c r="Y64">
        <v>58.14574138984162</v>
      </c>
      <c r="Z64">
        <v>0.2907287069492081</v>
      </c>
      <c r="AA64">
        <v>0</v>
      </c>
      <c r="AC64">
        <v>83.72113303555521</v>
      </c>
      <c r="AD64">
        <v>83.72113303555521</v>
      </c>
      <c r="AE64">
        <v>0.08482165555461781</v>
      </c>
      <c r="AF64">
        <v>8.573264193685921</v>
      </c>
      <c r="AG64">
        <v>-3.308057994200198E-11</v>
      </c>
      <c r="AH64">
        <v>3.947282751439646E-13</v>
      </c>
      <c r="AI64" t="b">
        <v>1</v>
      </c>
      <c r="AJ64" t="b">
        <v>1</v>
      </c>
      <c r="AK64" t="b">
        <v>1</v>
      </c>
      <c r="AL64">
        <v>0.3977271660696715</v>
      </c>
      <c r="AM64" t="b">
        <v>1</v>
      </c>
    </row>
    <row r="65" spans="1:39">
      <c r="A65" t="s">
        <v>142</v>
      </c>
      <c r="B65">
        <v>25</v>
      </c>
      <c r="C65" t="s">
        <v>143</v>
      </c>
      <c r="D65">
        <v>1.875</v>
      </c>
      <c r="E65">
        <v>30</v>
      </c>
      <c r="F65">
        <v>98</v>
      </c>
      <c r="G65">
        <v>10</v>
      </c>
      <c r="H65">
        <v>0.62</v>
      </c>
      <c r="I65">
        <v>25</v>
      </c>
      <c r="J65">
        <v>78.80595469107676</v>
      </c>
      <c r="K65">
        <v>5</v>
      </c>
      <c r="L65">
        <v>83.80595469107675</v>
      </c>
      <c r="M65">
        <v>0</v>
      </c>
      <c r="N65">
        <v>1.4210854715202E-14</v>
      </c>
      <c r="O65">
        <v>1.834375</v>
      </c>
      <c r="P65">
        <v>0.0408993627491101</v>
      </c>
      <c r="Q65">
        <v>59.984375</v>
      </c>
      <c r="R65" t="s">
        <v>128</v>
      </c>
      <c r="S65">
        <v>0.6</v>
      </c>
      <c r="T65">
        <v>120</v>
      </c>
      <c r="U65">
        <v>40</v>
      </c>
      <c r="V65">
        <v>0.0026530049766445</v>
      </c>
      <c r="W65">
        <v>93.51333419809276</v>
      </c>
      <c r="X65">
        <v>84.671875</v>
      </c>
      <c r="Y65">
        <v>76.95263462464018</v>
      </c>
      <c r="Z65">
        <v>0.3847631731232009</v>
      </c>
      <c r="AA65">
        <v>0</v>
      </c>
      <c r="AC65">
        <v>83.0276067728509</v>
      </c>
      <c r="AD65">
        <v>83.0276067728509</v>
      </c>
      <c r="AE65">
        <v>0.7783479182316346</v>
      </c>
      <c r="AF65">
        <v>24.26552555023596</v>
      </c>
      <c r="AG65">
        <v>-5.787148538161091E-12</v>
      </c>
      <c r="AH65">
        <v>6.905414489332557E-14</v>
      </c>
      <c r="AI65" t="b">
        <v>1</v>
      </c>
      <c r="AJ65" t="b">
        <v>1</v>
      </c>
      <c r="AK65" t="b">
        <v>0</v>
      </c>
      <c r="AL65">
        <v>0.3803012080024928</v>
      </c>
      <c r="AM65" t="b">
        <v>0</v>
      </c>
    </row>
    <row r="66" spans="1:39">
      <c r="A66" t="s">
        <v>142</v>
      </c>
      <c r="B66">
        <v>25</v>
      </c>
      <c r="C66" t="s">
        <v>143</v>
      </c>
      <c r="D66">
        <v>1.875</v>
      </c>
      <c r="E66">
        <v>30</v>
      </c>
      <c r="F66">
        <v>98</v>
      </c>
      <c r="G66">
        <v>10</v>
      </c>
      <c r="H66">
        <v>0.62</v>
      </c>
      <c r="I66">
        <v>25</v>
      </c>
      <c r="J66">
        <v>78.80595469107676</v>
      </c>
      <c r="K66">
        <v>5</v>
      </c>
      <c r="L66">
        <v>83.80595469107675</v>
      </c>
      <c r="M66">
        <v>0</v>
      </c>
      <c r="N66">
        <v>1.4210854715202E-14</v>
      </c>
      <c r="O66">
        <v>1.834375</v>
      </c>
      <c r="P66">
        <v>0.0408993627491101</v>
      </c>
      <c r="Q66">
        <v>59.984375</v>
      </c>
      <c r="R66" t="s">
        <v>129</v>
      </c>
      <c r="S66">
        <v>0.6</v>
      </c>
      <c r="T66">
        <v>120</v>
      </c>
      <c r="U66">
        <v>60</v>
      </c>
      <c r="V66">
        <v>0.0056315399026957</v>
      </c>
      <c r="W66">
        <v>86.23073924833149</v>
      </c>
      <c r="X66">
        <v>80.078125</v>
      </c>
      <c r="Y66">
        <v>70.96127919088005</v>
      </c>
      <c r="Z66">
        <v>0.3548063959544002</v>
      </c>
      <c r="AA66">
        <v>0</v>
      </c>
      <c r="AC66">
        <v>83.54864629690613</v>
      </c>
      <c r="AD66">
        <v>83.54864629690613</v>
      </c>
      <c r="AE66">
        <v>0.2573083941977669</v>
      </c>
      <c r="AF66">
        <v>13.85524371058154</v>
      </c>
      <c r="AG66">
        <v>-2.714539704129493E-11</v>
      </c>
      <c r="AH66">
        <v>3.239077359282829E-13</v>
      </c>
      <c r="AI66" t="b">
        <v>1</v>
      </c>
      <c r="AJ66" t="b">
        <v>1</v>
      </c>
      <c r="AK66" t="b">
        <v>1</v>
      </c>
      <c r="AL66">
        <v>0.373056040960364</v>
      </c>
      <c r="AM66" t="b">
        <v>1</v>
      </c>
    </row>
    <row r="67" spans="1:39">
      <c r="A67" t="s">
        <v>142</v>
      </c>
      <c r="B67">
        <v>25</v>
      </c>
      <c r="C67" t="s">
        <v>143</v>
      </c>
      <c r="D67">
        <v>1.875</v>
      </c>
      <c r="E67">
        <v>30</v>
      </c>
      <c r="F67">
        <v>98</v>
      </c>
      <c r="G67">
        <v>10</v>
      </c>
      <c r="H67">
        <v>0.62</v>
      </c>
      <c r="I67">
        <v>25</v>
      </c>
      <c r="J67">
        <v>78.80595469107676</v>
      </c>
      <c r="K67">
        <v>5</v>
      </c>
      <c r="L67">
        <v>83.80595469107675</v>
      </c>
      <c r="M67">
        <v>0</v>
      </c>
      <c r="N67">
        <v>1.4210854715202E-14</v>
      </c>
      <c r="O67">
        <v>1.834375</v>
      </c>
      <c r="P67">
        <v>0.0408993627491101</v>
      </c>
      <c r="Q67">
        <v>59.984375</v>
      </c>
      <c r="R67" t="s">
        <v>130</v>
      </c>
      <c r="S67">
        <v>0.6</v>
      </c>
      <c r="T67">
        <v>120</v>
      </c>
      <c r="U67">
        <v>80</v>
      </c>
      <c r="V67">
        <v>0.0093329291395299</v>
      </c>
      <c r="W67">
        <v>77.1807468082544</v>
      </c>
      <c r="X67">
        <v>76.953125</v>
      </c>
      <c r="Y67">
        <v>64.50675846526737</v>
      </c>
      <c r="Z67">
        <v>0.3225337923263368</v>
      </c>
      <c r="AA67">
        <v>0</v>
      </c>
      <c r="AC67">
        <v>83.67073761116883</v>
      </c>
      <c r="AD67">
        <v>83.67073761116883</v>
      </c>
      <c r="AE67">
        <v>0.135217079986408</v>
      </c>
      <c r="AF67">
        <v>9.614029412637736</v>
      </c>
      <c r="AG67">
        <v>-7.849046412822247E-11</v>
      </c>
      <c r="AH67">
        <v>9.365738319854705E-13</v>
      </c>
      <c r="AI67" t="b">
        <v>1</v>
      </c>
      <c r="AJ67" t="b">
        <v>1</v>
      </c>
      <c r="AK67" t="b">
        <v>1</v>
      </c>
      <c r="AL67">
        <v>0.405440834001638</v>
      </c>
      <c r="AM67" t="b">
        <v>1</v>
      </c>
    </row>
    <row r="68" spans="1:39">
      <c r="A68" t="s">
        <v>142</v>
      </c>
      <c r="B68">
        <v>25</v>
      </c>
      <c r="C68" t="s">
        <v>143</v>
      </c>
      <c r="D68">
        <v>1.875</v>
      </c>
      <c r="E68">
        <v>30</v>
      </c>
      <c r="F68">
        <v>98</v>
      </c>
      <c r="G68">
        <v>10</v>
      </c>
      <c r="H68">
        <v>0.62</v>
      </c>
      <c r="I68">
        <v>25</v>
      </c>
      <c r="J68">
        <v>78.80595469107676</v>
      </c>
      <c r="K68">
        <v>5</v>
      </c>
      <c r="L68">
        <v>83.80595469107675</v>
      </c>
      <c r="M68">
        <v>0</v>
      </c>
      <c r="N68">
        <v>1.4210854715202E-14</v>
      </c>
      <c r="O68">
        <v>1.834375</v>
      </c>
      <c r="P68">
        <v>0.0408993627491101</v>
      </c>
      <c r="Q68">
        <v>59.984375</v>
      </c>
      <c r="R68" t="s">
        <v>131</v>
      </c>
      <c r="S68">
        <v>0.6</v>
      </c>
      <c r="T68">
        <v>120</v>
      </c>
      <c r="U68">
        <v>100</v>
      </c>
      <c r="V68">
        <v>0.013447550439721</v>
      </c>
      <c r="W68">
        <v>67.12039128283574</v>
      </c>
      <c r="X68">
        <v>74.765625</v>
      </c>
      <c r="Y68">
        <v>58.14574138984162</v>
      </c>
      <c r="Z68">
        <v>0.2907287069492081</v>
      </c>
      <c r="AA68">
        <v>0</v>
      </c>
      <c r="AC68">
        <v>83.72113303555521</v>
      </c>
      <c r="AD68">
        <v>83.72113303555521</v>
      </c>
      <c r="AE68">
        <v>0.08482165555461781</v>
      </c>
      <c r="AF68">
        <v>7.360885818331114</v>
      </c>
      <c r="AG68">
        <v>-3.308057994200198E-11</v>
      </c>
      <c r="AH68">
        <v>3.947282751439646E-13</v>
      </c>
      <c r="AI68" t="b">
        <v>1</v>
      </c>
      <c r="AJ68" t="b">
        <v>1</v>
      </c>
      <c r="AK68" t="b">
        <v>1</v>
      </c>
      <c r="AL68">
        <v>0.4204587079584598</v>
      </c>
      <c r="AM68" t="b">
        <v>1</v>
      </c>
    </row>
    <row r="69" spans="1:39">
      <c r="A69" t="s">
        <v>142</v>
      </c>
      <c r="B69">
        <v>25</v>
      </c>
      <c r="C69" t="s">
        <v>143</v>
      </c>
      <c r="D69">
        <v>1.875</v>
      </c>
      <c r="E69">
        <v>30</v>
      </c>
      <c r="F69">
        <v>98</v>
      </c>
      <c r="G69">
        <v>10</v>
      </c>
      <c r="H69">
        <v>0.62</v>
      </c>
      <c r="I69">
        <v>25</v>
      </c>
      <c r="J69">
        <v>78.80595469107676</v>
      </c>
      <c r="K69">
        <v>5</v>
      </c>
      <c r="L69">
        <v>83.80595469107675</v>
      </c>
      <c r="M69">
        <v>0</v>
      </c>
      <c r="N69">
        <v>1.4210854715202E-14</v>
      </c>
      <c r="O69">
        <v>1.834375</v>
      </c>
      <c r="P69">
        <v>0.0408993627491101</v>
      </c>
      <c r="Q69">
        <v>59.984375</v>
      </c>
      <c r="R69" t="s">
        <v>132</v>
      </c>
      <c r="S69">
        <v>0.75</v>
      </c>
      <c r="T69">
        <v>150</v>
      </c>
      <c r="U69">
        <v>40</v>
      </c>
      <c r="V69">
        <v>0.0026530049766445</v>
      </c>
      <c r="W69">
        <v>93.51333419809276</v>
      </c>
      <c r="X69">
        <v>84.671875</v>
      </c>
      <c r="Y69">
        <v>76.95263462464018</v>
      </c>
      <c r="Z69">
        <v>0.3847631731232009</v>
      </c>
      <c r="AA69">
        <v>0</v>
      </c>
      <c r="AC69">
        <v>83.0276067728509</v>
      </c>
      <c r="AD69">
        <v>83.0276067728509</v>
      </c>
      <c r="AE69">
        <v>0.7783479182316346</v>
      </c>
      <c r="AF69">
        <v>22.19721147584107</v>
      </c>
      <c r="AG69">
        <v>-5.787148538161091E-12</v>
      </c>
      <c r="AH69">
        <v>6.905414489332557E-14</v>
      </c>
      <c r="AI69" t="b">
        <v>1</v>
      </c>
      <c r="AJ69" t="b">
        <v>1</v>
      </c>
      <c r="AK69" t="b">
        <v>1</v>
      </c>
      <c r="AL69">
        <v>0.4060063329525292</v>
      </c>
      <c r="AM69" t="b">
        <v>1</v>
      </c>
    </row>
    <row r="70" spans="1:39">
      <c r="A70" t="s">
        <v>142</v>
      </c>
      <c r="B70">
        <v>25</v>
      </c>
      <c r="C70" t="s">
        <v>143</v>
      </c>
      <c r="D70">
        <v>1.875</v>
      </c>
      <c r="E70">
        <v>30</v>
      </c>
      <c r="F70">
        <v>98</v>
      </c>
      <c r="G70">
        <v>10</v>
      </c>
      <c r="H70">
        <v>0.62</v>
      </c>
      <c r="I70">
        <v>25</v>
      </c>
      <c r="J70">
        <v>78.80595469107676</v>
      </c>
      <c r="K70">
        <v>5</v>
      </c>
      <c r="L70">
        <v>83.80595469107675</v>
      </c>
      <c r="M70">
        <v>0</v>
      </c>
      <c r="N70">
        <v>1.4210854715202E-14</v>
      </c>
      <c r="O70">
        <v>1.834375</v>
      </c>
      <c r="P70">
        <v>0.0408993627491101</v>
      </c>
      <c r="Q70">
        <v>59.984375</v>
      </c>
      <c r="R70" t="s">
        <v>133</v>
      </c>
      <c r="S70">
        <v>0.75</v>
      </c>
      <c r="T70">
        <v>150</v>
      </c>
      <c r="U70">
        <v>60</v>
      </c>
      <c r="V70">
        <v>0.0056315399026957</v>
      </c>
      <c r="W70">
        <v>86.23073924833149</v>
      </c>
      <c r="X70">
        <v>80.078125</v>
      </c>
      <c r="Y70">
        <v>70.96127919088005</v>
      </c>
      <c r="Z70">
        <v>0.3548063959544002</v>
      </c>
      <c r="AA70">
        <v>0</v>
      </c>
      <c r="AC70">
        <v>83.54864629690613</v>
      </c>
      <c r="AD70">
        <v>83.54864629690613</v>
      </c>
      <c r="AE70">
        <v>0.2573083941977669</v>
      </c>
      <c r="AF70">
        <v>12.47633861235997</v>
      </c>
      <c r="AG70">
        <v>-2.714539704129493E-11</v>
      </c>
      <c r="AH70">
        <v>3.239077359282829E-13</v>
      </c>
      <c r="AI70" t="b">
        <v>1</v>
      </c>
      <c r="AJ70" t="b">
        <v>1</v>
      </c>
      <c r="AK70" t="b">
        <v>1</v>
      </c>
      <c r="AL70">
        <v>0.4171867920085788</v>
      </c>
      <c r="AM70" t="b">
        <v>1</v>
      </c>
    </row>
    <row r="71" spans="1:39">
      <c r="A71" t="s">
        <v>142</v>
      </c>
      <c r="B71">
        <v>25</v>
      </c>
      <c r="C71" t="s">
        <v>143</v>
      </c>
      <c r="D71">
        <v>1.875</v>
      </c>
      <c r="E71">
        <v>30</v>
      </c>
      <c r="F71">
        <v>98</v>
      </c>
      <c r="G71">
        <v>10</v>
      </c>
      <c r="H71">
        <v>0.62</v>
      </c>
      <c r="I71">
        <v>25</v>
      </c>
      <c r="J71">
        <v>78.80595469107676</v>
      </c>
      <c r="K71">
        <v>5</v>
      </c>
      <c r="L71">
        <v>83.80595469107675</v>
      </c>
      <c r="M71">
        <v>0</v>
      </c>
      <c r="N71">
        <v>1.4210854715202E-14</v>
      </c>
      <c r="O71">
        <v>1.834375</v>
      </c>
      <c r="P71">
        <v>0.0408993627491101</v>
      </c>
      <c r="Q71">
        <v>59.984375</v>
      </c>
      <c r="R71" t="s">
        <v>134</v>
      </c>
      <c r="S71">
        <v>0.75</v>
      </c>
      <c r="T71">
        <v>150</v>
      </c>
      <c r="U71">
        <v>80</v>
      </c>
      <c r="V71">
        <v>0.0093329291395299</v>
      </c>
      <c r="W71">
        <v>77.1807468082544</v>
      </c>
      <c r="X71">
        <v>76.953125</v>
      </c>
      <c r="Y71">
        <v>64.50675846526737</v>
      </c>
      <c r="Z71">
        <v>0.3225337923263368</v>
      </c>
      <c r="AA71">
        <v>0</v>
      </c>
      <c r="AC71">
        <v>83.67073761116883</v>
      </c>
      <c r="AD71">
        <v>83.67073761116883</v>
      </c>
      <c r="AE71">
        <v>0.135217079986408</v>
      </c>
      <c r="AF71">
        <v>8.579828800825304</v>
      </c>
      <c r="AG71">
        <v>-7.849046412822247E-11</v>
      </c>
      <c r="AH71">
        <v>9.365738319854705E-13</v>
      </c>
      <c r="AI71" t="b">
        <v>1</v>
      </c>
      <c r="AJ71" t="b">
        <v>1</v>
      </c>
      <c r="AK71" t="b">
        <v>1</v>
      </c>
      <c r="AL71">
        <v>0.6262250419240445</v>
      </c>
      <c r="AM71" t="b">
        <v>1</v>
      </c>
    </row>
    <row r="72" spans="1:39">
      <c r="A72" t="s">
        <v>142</v>
      </c>
      <c r="B72">
        <v>25</v>
      </c>
      <c r="C72" t="s">
        <v>143</v>
      </c>
      <c r="D72">
        <v>1.875</v>
      </c>
      <c r="E72">
        <v>30</v>
      </c>
      <c r="F72">
        <v>98</v>
      </c>
      <c r="G72">
        <v>10</v>
      </c>
      <c r="H72">
        <v>0.62</v>
      </c>
      <c r="I72">
        <v>25</v>
      </c>
      <c r="J72">
        <v>78.80595469107676</v>
      </c>
      <c r="K72">
        <v>5</v>
      </c>
      <c r="L72">
        <v>83.80595469107675</v>
      </c>
      <c r="M72">
        <v>0</v>
      </c>
      <c r="N72">
        <v>1.4210854715202E-14</v>
      </c>
      <c r="O72">
        <v>1.834375</v>
      </c>
      <c r="P72">
        <v>0.0408993627491101</v>
      </c>
      <c r="Q72">
        <v>59.984375</v>
      </c>
      <c r="R72" t="s">
        <v>135</v>
      </c>
      <c r="S72">
        <v>0.75</v>
      </c>
      <c r="T72">
        <v>150</v>
      </c>
      <c r="U72">
        <v>100</v>
      </c>
      <c r="V72">
        <v>0.013447550439721</v>
      </c>
      <c r="W72">
        <v>67.12039128283574</v>
      </c>
      <c r="X72">
        <v>74.765625</v>
      </c>
      <c r="Y72">
        <v>58.14574138984162</v>
      </c>
      <c r="Z72">
        <v>0.2907287069492081</v>
      </c>
      <c r="AA72">
        <v>0</v>
      </c>
      <c r="AC72">
        <v>83.72113303555521</v>
      </c>
      <c r="AD72">
        <v>83.72113303555521</v>
      </c>
      <c r="AE72">
        <v>0.08482165555461781</v>
      </c>
      <c r="AF72">
        <v>6.533507900187942</v>
      </c>
      <c r="AG72">
        <v>-3.308057994200198E-11</v>
      </c>
      <c r="AH72">
        <v>3.947282751439646E-13</v>
      </c>
      <c r="AI72" t="b">
        <v>1</v>
      </c>
      <c r="AJ72" t="b">
        <v>1</v>
      </c>
      <c r="AK72" t="b">
        <v>1</v>
      </c>
      <c r="AL72">
        <v>0.4867571669165045</v>
      </c>
      <c r="AM72" t="b">
        <v>1</v>
      </c>
    </row>
    <row r="73" spans="1:39">
      <c r="A73" t="s">
        <v>142</v>
      </c>
      <c r="B73">
        <v>25</v>
      </c>
      <c r="C73" t="s">
        <v>143</v>
      </c>
      <c r="D73">
        <v>1.875</v>
      </c>
      <c r="E73">
        <v>30</v>
      </c>
      <c r="F73">
        <v>98</v>
      </c>
      <c r="G73">
        <v>10</v>
      </c>
      <c r="H73">
        <v>0.62</v>
      </c>
      <c r="I73">
        <v>25</v>
      </c>
      <c r="J73">
        <v>78.80595469107676</v>
      </c>
      <c r="K73">
        <v>5</v>
      </c>
      <c r="L73">
        <v>83.80595469107675</v>
      </c>
      <c r="M73">
        <v>0</v>
      </c>
      <c r="N73">
        <v>1.4210854715202E-14</v>
      </c>
      <c r="O73">
        <v>1.834375</v>
      </c>
      <c r="P73">
        <v>0.0408993627491101</v>
      </c>
      <c r="Q73">
        <v>59.984375</v>
      </c>
      <c r="R73" t="s">
        <v>136</v>
      </c>
      <c r="S73">
        <v>0.9</v>
      </c>
      <c r="T73">
        <v>180</v>
      </c>
      <c r="U73">
        <v>40</v>
      </c>
      <c r="V73">
        <v>0.0026530049766445</v>
      </c>
      <c r="W73">
        <v>93.51333419809276</v>
      </c>
      <c r="X73">
        <v>84.671875</v>
      </c>
      <c r="Y73">
        <v>76.95263462464018</v>
      </c>
      <c r="Z73">
        <v>0.3847631731232009</v>
      </c>
      <c r="AA73">
        <v>0</v>
      </c>
      <c r="AC73">
        <v>83.0276067728509</v>
      </c>
      <c r="AD73">
        <v>83.0276067728509</v>
      </c>
      <c r="AE73">
        <v>0.7783479182316346</v>
      </c>
      <c r="AF73">
        <v>20.67043857532621</v>
      </c>
      <c r="AG73">
        <v>-5.787148538161091E-12</v>
      </c>
      <c r="AH73">
        <v>6.905414489332557E-14</v>
      </c>
      <c r="AI73" t="b">
        <v>1</v>
      </c>
      <c r="AJ73" t="b">
        <v>1</v>
      </c>
      <c r="AK73" t="b">
        <v>1</v>
      </c>
      <c r="AL73">
        <v>0.3776390000712126</v>
      </c>
      <c r="AM73" t="b">
        <v>1</v>
      </c>
    </row>
    <row r="74" spans="1:39">
      <c r="A74" t="s">
        <v>142</v>
      </c>
      <c r="B74">
        <v>25</v>
      </c>
      <c r="C74" t="s">
        <v>143</v>
      </c>
      <c r="D74">
        <v>1.875</v>
      </c>
      <c r="E74">
        <v>30</v>
      </c>
      <c r="F74">
        <v>98</v>
      </c>
      <c r="G74">
        <v>10</v>
      </c>
      <c r="H74">
        <v>0.62</v>
      </c>
      <c r="I74">
        <v>25</v>
      </c>
      <c r="J74">
        <v>78.80595469107676</v>
      </c>
      <c r="K74">
        <v>5</v>
      </c>
      <c r="L74">
        <v>83.80595469107675</v>
      </c>
      <c r="M74">
        <v>0</v>
      </c>
      <c r="N74">
        <v>1.4210854715202E-14</v>
      </c>
      <c r="O74">
        <v>1.834375</v>
      </c>
      <c r="P74">
        <v>0.0408993627491101</v>
      </c>
      <c r="Q74">
        <v>59.984375</v>
      </c>
      <c r="R74" t="s">
        <v>137</v>
      </c>
      <c r="S74">
        <v>0.9</v>
      </c>
      <c r="T74">
        <v>180</v>
      </c>
      <c r="U74">
        <v>60</v>
      </c>
      <c r="V74">
        <v>0.0056315399026957</v>
      </c>
      <c r="W74">
        <v>86.23073924833149</v>
      </c>
      <c r="X74">
        <v>80.078125</v>
      </c>
      <c r="Y74">
        <v>70.96127919088005</v>
      </c>
      <c r="Z74">
        <v>0.3548063959544002</v>
      </c>
      <c r="AA74">
        <v>0</v>
      </c>
      <c r="AC74">
        <v>83.54864629690613</v>
      </c>
      <c r="AD74">
        <v>83.54864629690613</v>
      </c>
      <c r="AE74">
        <v>0.2573083941977669</v>
      </c>
      <c r="AF74">
        <v>11.45846627260722</v>
      </c>
      <c r="AG74">
        <v>-2.714539704129493E-11</v>
      </c>
      <c r="AH74">
        <v>3.239077359282829E-13</v>
      </c>
      <c r="AI74" t="b">
        <v>1</v>
      </c>
      <c r="AJ74" t="b">
        <v>1</v>
      </c>
      <c r="AK74" t="b">
        <v>1</v>
      </c>
      <c r="AL74">
        <v>0.3748031669529155</v>
      </c>
      <c r="AM74" t="b">
        <v>1</v>
      </c>
    </row>
    <row r="75" spans="1:39">
      <c r="A75" t="s">
        <v>142</v>
      </c>
      <c r="B75">
        <v>25</v>
      </c>
      <c r="C75" t="s">
        <v>143</v>
      </c>
      <c r="D75">
        <v>1.875</v>
      </c>
      <c r="E75">
        <v>30</v>
      </c>
      <c r="F75">
        <v>98</v>
      </c>
      <c r="G75">
        <v>10</v>
      </c>
      <c r="H75">
        <v>0.62</v>
      </c>
      <c r="I75">
        <v>25</v>
      </c>
      <c r="J75">
        <v>78.80595469107676</v>
      </c>
      <c r="K75">
        <v>5</v>
      </c>
      <c r="L75">
        <v>83.80595469107675</v>
      </c>
      <c r="M75">
        <v>0</v>
      </c>
      <c r="N75">
        <v>1.4210854715202E-14</v>
      </c>
      <c r="O75">
        <v>1.834375</v>
      </c>
      <c r="P75">
        <v>0.0408993627491101</v>
      </c>
      <c r="Q75">
        <v>59.984375</v>
      </c>
      <c r="R75" t="s">
        <v>138</v>
      </c>
      <c r="S75">
        <v>0.9</v>
      </c>
      <c r="T75">
        <v>180</v>
      </c>
      <c r="U75">
        <v>80</v>
      </c>
      <c r="V75">
        <v>0.0093329291395299</v>
      </c>
      <c r="W75">
        <v>77.1807468082544</v>
      </c>
      <c r="X75">
        <v>76.953125</v>
      </c>
      <c r="Y75">
        <v>64.50675846526737</v>
      </c>
      <c r="Z75">
        <v>0.3225337923263368</v>
      </c>
      <c r="AA75">
        <v>0</v>
      </c>
      <c r="AC75">
        <v>83.67073761116883</v>
      </c>
      <c r="AD75">
        <v>83.67073761116883</v>
      </c>
      <c r="AE75">
        <v>0.135217079986408</v>
      </c>
      <c r="AF75">
        <v>7.816406746963969</v>
      </c>
      <c r="AG75">
        <v>-7.849046412822247E-11</v>
      </c>
      <c r="AH75">
        <v>9.365738319854705E-13</v>
      </c>
      <c r="AI75" t="b">
        <v>1</v>
      </c>
      <c r="AJ75" t="b">
        <v>1</v>
      </c>
      <c r="AK75" t="b">
        <v>1</v>
      </c>
      <c r="AL75">
        <v>0.3858674579532817</v>
      </c>
      <c r="AM75" t="b">
        <v>1</v>
      </c>
    </row>
    <row r="76" spans="1:39">
      <c r="A76" t="s">
        <v>142</v>
      </c>
      <c r="B76">
        <v>25</v>
      </c>
      <c r="C76" t="s">
        <v>143</v>
      </c>
      <c r="D76">
        <v>1.875</v>
      </c>
      <c r="E76">
        <v>30</v>
      </c>
      <c r="F76">
        <v>98</v>
      </c>
      <c r="G76">
        <v>10</v>
      </c>
      <c r="H76">
        <v>0.62</v>
      </c>
      <c r="I76">
        <v>25</v>
      </c>
      <c r="J76">
        <v>78.80595469107676</v>
      </c>
      <c r="K76">
        <v>5</v>
      </c>
      <c r="L76">
        <v>83.80595469107675</v>
      </c>
      <c r="M76">
        <v>0</v>
      </c>
      <c r="N76">
        <v>1.4210854715202E-14</v>
      </c>
      <c r="O76">
        <v>1.834375</v>
      </c>
      <c r="P76">
        <v>0.0408993627491101</v>
      </c>
      <c r="Q76">
        <v>59.984375</v>
      </c>
      <c r="R76" t="s">
        <v>139</v>
      </c>
      <c r="S76">
        <v>0.9</v>
      </c>
      <c r="T76">
        <v>180</v>
      </c>
      <c r="U76">
        <v>100</v>
      </c>
      <c r="V76">
        <v>0.013447550439721</v>
      </c>
      <c r="W76">
        <v>67.12039128283574</v>
      </c>
      <c r="X76">
        <v>74.765625</v>
      </c>
      <c r="Y76">
        <v>58.14574138984162</v>
      </c>
      <c r="Z76">
        <v>0.2907287069492081</v>
      </c>
      <c r="AA76">
        <v>0</v>
      </c>
      <c r="AC76">
        <v>83.72113303555521</v>
      </c>
      <c r="AD76">
        <v>83.72113303555521</v>
      </c>
      <c r="AE76">
        <v>0.08482165555461781</v>
      </c>
      <c r="AF76">
        <v>5.922756012357318</v>
      </c>
      <c r="AG76">
        <v>-3.308057994200198E-11</v>
      </c>
      <c r="AH76">
        <v>3.947282751439646E-13</v>
      </c>
      <c r="AI76" t="b">
        <v>1</v>
      </c>
      <c r="AJ76" t="b">
        <v>1</v>
      </c>
      <c r="AK76" t="b">
        <v>1</v>
      </c>
      <c r="AL76">
        <v>0.3821875409921631</v>
      </c>
      <c r="AM76" t="b">
        <v>1</v>
      </c>
    </row>
    <row r="77" spans="1:39">
      <c r="A77" t="s">
        <v>144</v>
      </c>
      <c r="B77">
        <v>50</v>
      </c>
      <c r="C77" t="s">
        <v>115</v>
      </c>
      <c r="D77">
        <v>1.875</v>
      </c>
      <c r="E77">
        <v>60</v>
      </c>
      <c r="F77">
        <v>98</v>
      </c>
      <c r="G77">
        <v>10</v>
      </c>
      <c r="H77">
        <v>0.62</v>
      </c>
      <c r="I77">
        <v>50</v>
      </c>
      <c r="J77">
        <v>177.1033712082752</v>
      </c>
      <c r="K77">
        <v>10</v>
      </c>
      <c r="L77">
        <v>187.1033712082752</v>
      </c>
      <c r="M77">
        <v>0</v>
      </c>
      <c r="N77">
        <v>0</v>
      </c>
      <c r="O77">
        <v>1.834375</v>
      </c>
      <c r="P77">
        <v>0.0574787903230887</v>
      </c>
      <c r="Q77">
        <v>59.984375</v>
      </c>
      <c r="R77" t="s">
        <v>116</v>
      </c>
      <c r="S77">
        <v>0.15</v>
      </c>
      <c r="T77">
        <v>30</v>
      </c>
      <c r="U77">
        <v>40</v>
      </c>
      <c r="V77">
        <v>0.0574787903230894</v>
      </c>
      <c r="W77">
        <v>-1.088018564132653E-12</v>
      </c>
      <c r="X77">
        <v>59.984375</v>
      </c>
      <c r="Y77">
        <v>30</v>
      </c>
      <c r="Z77">
        <v>0.15</v>
      </c>
      <c r="AA77">
        <v>149.7701303215706</v>
      </c>
      <c r="AB77">
        <v>25.4375</v>
      </c>
      <c r="AC77">
        <v>37.20706447579919</v>
      </c>
      <c r="AD77">
        <v>186.9771947973698</v>
      </c>
      <c r="AE77">
        <v>0.1261764109061081</v>
      </c>
      <c r="AF77">
        <v>37.76531595223544</v>
      </c>
      <c r="AG77">
        <v>-7.352451980580099E-13</v>
      </c>
      <c r="AH77">
        <v>3.929620259164478E-15</v>
      </c>
      <c r="AI77" t="b">
        <v>0</v>
      </c>
      <c r="AJ77" t="b">
        <v>0</v>
      </c>
      <c r="AK77" t="b">
        <v>0</v>
      </c>
      <c r="AL77">
        <v>1.08942379092332</v>
      </c>
      <c r="AM77" t="b">
        <v>0</v>
      </c>
    </row>
    <row r="78" spans="1:39">
      <c r="A78" t="s">
        <v>144</v>
      </c>
      <c r="B78">
        <v>50</v>
      </c>
      <c r="C78" t="s">
        <v>115</v>
      </c>
      <c r="D78">
        <v>1.875</v>
      </c>
      <c r="E78">
        <v>30</v>
      </c>
      <c r="F78">
        <v>98</v>
      </c>
      <c r="G78">
        <v>10</v>
      </c>
      <c r="H78">
        <v>0.62</v>
      </c>
      <c r="I78">
        <v>50</v>
      </c>
      <c r="J78">
        <v>177.1033712082752</v>
      </c>
      <c r="K78">
        <v>10</v>
      </c>
      <c r="L78">
        <v>187.1033712082752</v>
      </c>
      <c r="M78">
        <v>0</v>
      </c>
      <c r="N78">
        <v>0</v>
      </c>
      <c r="O78">
        <v>1.834375</v>
      </c>
      <c r="P78">
        <v>0.0574787903230887</v>
      </c>
      <c r="Q78">
        <v>59.984375</v>
      </c>
      <c r="R78" t="s">
        <v>117</v>
      </c>
      <c r="S78">
        <v>0.15</v>
      </c>
      <c r="T78">
        <v>30</v>
      </c>
      <c r="U78">
        <v>60</v>
      </c>
      <c r="V78">
        <v>0.0574787903230894</v>
      </c>
      <c r="W78">
        <v>-1.088018564132653E-12</v>
      </c>
      <c r="X78">
        <v>59.984375</v>
      </c>
      <c r="Y78">
        <v>30</v>
      </c>
      <c r="Z78">
        <v>0.15</v>
      </c>
      <c r="AA78">
        <v>142.3347819206043</v>
      </c>
      <c r="AB78">
        <v>25.71875</v>
      </c>
      <c r="AC78">
        <v>44.55070133386188</v>
      </c>
      <c r="AD78">
        <v>186.8854832544662</v>
      </c>
      <c r="AE78">
        <v>0.2178879538081465</v>
      </c>
      <c r="AF78">
        <v>24.47069121275918</v>
      </c>
      <c r="AG78">
        <v>7.938927293338338E-13</v>
      </c>
      <c r="AH78">
        <v>4.243070149976654E-15</v>
      </c>
      <c r="AI78" t="b">
        <v>0</v>
      </c>
      <c r="AJ78" t="b">
        <v>0</v>
      </c>
      <c r="AK78" t="b">
        <v>0</v>
      </c>
      <c r="AL78">
        <v>0.3559817080385983</v>
      </c>
      <c r="AM78" t="b">
        <v>0</v>
      </c>
    </row>
    <row r="79" spans="1:39">
      <c r="A79" t="s">
        <v>144</v>
      </c>
      <c r="B79">
        <v>50</v>
      </c>
      <c r="C79" t="s">
        <v>115</v>
      </c>
      <c r="D79">
        <v>1.875</v>
      </c>
      <c r="E79">
        <v>30</v>
      </c>
      <c r="F79">
        <v>98</v>
      </c>
      <c r="G79">
        <v>10</v>
      </c>
      <c r="H79">
        <v>0.62</v>
      </c>
      <c r="I79">
        <v>50</v>
      </c>
      <c r="J79">
        <v>177.1033712082752</v>
      </c>
      <c r="K79">
        <v>10</v>
      </c>
      <c r="L79">
        <v>187.1033712082752</v>
      </c>
      <c r="M79">
        <v>0</v>
      </c>
      <c r="N79">
        <v>0</v>
      </c>
      <c r="O79">
        <v>1.834375</v>
      </c>
      <c r="P79">
        <v>0.0574787903230887</v>
      </c>
      <c r="Q79">
        <v>59.984375</v>
      </c>
      <c r="R79" t="s">
        <v>118</v>
      </c>
      <c r="S79">
        <v>0.15</v>
      </c>
      <c r="T79">
        <v>30</v>
      </c>
      <c r="U79">
        <v>80</v>
      </c>
      <c r="V79">
        <v>0.0574787903230894</v>
      </c>
      <c r="W79">
        <v>-1.088018564132653E-12</v>
      </c>
      <c r="X79">
        <v>59.984375</v>
      </c>
      <c r="Y79">
        <v>30</v>
      </c>
      <c r="Z79">
        <v>0.15</v>
      </c>
      <c r="AA79">
        <v>133.3775789599421</v>
      </c>
      <c r="AB79">
        <v>26.03125</v>
      </c>
      <c r="AC79">
        <v>53.60102310075585</v>
      </c>
      <c r="AD79">
        <v>186.978602060698</v>
      </c>
      <c r="AE79">
        <v>0.1247691475468617</v>
      </c>
      <c r="AF79">
        <v>18.21260673760096</v>
      </c>
      <c r="AG79">
        <v>3.034969497939244E-11</v>
      </c>
      <c r="AH79">
        <v>1.622081675140343E-13</v>
      </c>
      <c r="AI79" t="b">
        <v>0</v>
      </c>
      <c r="AJ79" t="b">
        <v>0</v>
      </c>
      <c r="AK79" t="b">
        <v>1</v>
      </c>
      <c r="AL79">
        <v>0.3511470420053229</v>
      </c>
      <c r="AM79" t="b">
        <v>0</v>
      </c>
    </row>
    <row r="80" spans="1:39">
      <c r="A80" t="s">
        <v>144</v>
      </c>
      <c r="B80">
        <v>50</v>
      </c>
      <c r="C80" t="s">
        <v>115</v>
      </c>
      <c r="D80">
        <v>1.875</v>
      </c>
      <c r="E80">
        <v>30</v>
      </c>
      <c r="F80">
        <v>98</v>
      </c>
      <c r="G80">
        <v>10</v>
      </c>
      <c r="H80">
        <v>0.62</v>
      </c>
      <c r="I80">
        <v>50</v>
      </c>
      <c r="J80">
        <v>177.1033712082752</v>
      </c>
      <c r="K80">
        <v>10</v>
      </c>
      <c r="L80">
        <v>187.1033712082752</v>
      </c>
      <c r="M80">
        <v>0</v>
      </c>
      <c r="N80">
        <v>0</v>
      </c>
      <c r="O80">
        <v>1.834375</v>
      </c>
      <c r="P80">
        <v>0.0574787903230887</v>
      </c>
      <c r="Q80">
        <v>59.984375</v>
      </c>
      <c r="R80" t="s">
        <v>119</v>
      </c>
      <c r="S80">
        <v>0.15</v>
      </c>
      <c r="T80">
        <v>30</v>
      </c>
      <c r="U80">
        <v>100</v>
      </c>
      <c r="V80">
        <v>0.0574787903230894</v>
      </c>
      <c r="W80">
        <v>-1.088018564132653E-12</v>
      </c>
      <c r="X80">
        <v>59.984375</v>
      </c>
      <c r="Y80">
        <v>30</v>
      </c>
      <c r="Z80">
        <v>0.15</v>
      </c>
      <c r="AA80">
        <v>123.5039703674754</v>
      </c>
      <c r="AB80">
        <v>26.40625</v>
      </c>
      <c r="AC80">
        <v>63.51815058737979</v>
      </c>
      <c r="AD80">
        <v>187.0221209548552</v>
      </c>
      <c r="AE80">
        <v>0.081250253250472</v>
      </c>
      <c r="AF80">
        <v>14.55680741900977</v>
      </c>
      <c r="AG80">
        <v>1.695514562083389E-10</v>
      </c>
      <c r="AH80">
        <v>9.061913482018544E-13</v>
      </c>
      <c r="AI80" t="b">
        <v>0</v>
      </c>
      <c r="AJ80" t="b">
        <v>0</v>
      </c>
      <c r="AK80" t="b">
        <v>1</v>
      </c>
      <c r="AL80">
        <v>0.3476137910038233</v>
      </c>
      <c r="AM80" t="b">
        <v>0</v>
      </c>
    </row>
    <row r="81" spans="1:39">
      <c r="A81" t="s">
        <v>144</v>
      </c>
      <c r="B81">
        <v>50</v>
      </c>
      <c r="C81" t="s">
        <v>115</v>
      </c>
      <c r="D81">
        <v>1.875</v>
      </c>
      <c r="E81">
        <v>60</v>
      </c>
      <c r="F81">
        <v>98</v>
      </c>
      <c r="G81">
        <v>10</v>
      </c>
      <c r="H81">
        <v>0.62</v>
      </c>
      <c r="I81">
        <v>50</v>
      </c>
      <c r="J81">
        <v>177.1033712082752</v>
      </c>
      <c r="K81">
        <v>10</v>
      </c>
      <c r="L81">
        <v>187.1033712082752</v>
      </c>
      <c r="M81">
        <v>0</v>
      </c>
      <c r="N81">
        <v>0</v>
      </c>
      <c r="O81">
        <v>1.834375</v>
      </c>
      <c r="P81">
        <v>0.0574787903230887</v>
      </c>
      <c r="Q81">
        <v>59.984375</v>
      </c>
      <c r="R81" t="s">
        <v>120</v>
      </c>
      <c r="S81">
        <v>0.3</v>
      </c>
      <c r="T81">
        <v>60</v>
      </c>
      <c r="U81">
        <v>40</v>
      </c>
      <c r="V81">
        <v>0.0574787903230874</v>
      </c>
      <c r="W81">
        <v>2.209343819004062E-12</v>
      </c>
      <c r="X81">
        <v>59.984375</v>
      </c>
      <c r="Y81">
        <v>60</v>
      </c>
      <c r="Z81">
        <v>0.3</v>
      </c>
      <c r="AA81">
        <v>117.2076354064745</v>
      </c>
      <c r="AB81">
        <v>35.59375</v>
      </c>
      <c r="AC81">
        <v>69.74983959386579</v>
      </c>
      <c r="AD81">
        <v>186.9574750003403</v>
      </c>
      <c r="AE81">
        <v>0.145896207938041</v>
      </c>
      <c r="AF81">
        <v>30.52036766996151</v>
      </c>
      <c r="AG81">
        <v>-3.173045159954313E-12</v>
      </c>
      <c r="AH81">
        <v>1.695878133816317E-14</v>
      </c>
      <c r="AI81" t="b">
        <v>0</v>
      </c>
      <c r="AJ81" t="b">
        <v>0</v>
      </c>
      <c r="AK81" t="b">
        <v>0</v>
      </c>
      <c r="AL81">
        <v>1.05106287507806</v>
      </c>
      <c r="AM81" t="b">
        <v>0</v>
      </c>
    </row>
    <row r="82" spans="1:39">
      <c r="A82" t="s">
        <v>144</v>
      </c>
      <c r="B82">
        <v>50</v>
      </c>
      <c r="C82" t="s">
        <v>115</v>
      </c>
      <c r="D82">
        <v>1.875</v>
      </c>
      <c r="E82">
        <v>30</v>
      </c>
      <c r="F82">
        <v>98</v>
      </c>
      <c r="G82">
        <v>10</v>
      </c>
      <c r="H82">
        <v>0.62</v>
      </c>
      <c r="I82">
        <v>50</v>
      </c>
      <c r="J82">
        <v>177.1033712082752</v>
      </c>
      <c r="K82">
        <v>10</v>
      </c>
      <c r="L82">
        <v>187.1033712082752</v>
      </c>
      <c r="M82">
        <v>0</v>
      </c>
      <c r="N82">
        <v>0</v>
      </c>
      <c r="O82">
        <v>1.834375</v>
      </c>
      <c r="P82">
        <v>0.0574787903230887</v>
      </c>
      <c r="Q82">
        <v>59.984375</v>
      </c>
      <c r="R82" t="s">
        <v>121</v>
      </c>
      <c r="S82">
        <v>0.3</v>
      </c>
      <c r="T82">
        <v>60</v>
      </c>
      <c r="U82">
        <v>60</v>
      </c>
      <c r="V82">
        <v>0.0574787903230874</v>
      </c>
      <c r="W82">
        <v>2.209343819004062E-12</v>
      </c>
      <c r="X82">
        <v>59.984375</v>
      </c>
      <c r="Y82">
        <v>60</v>
      </c>
      <c r="Z82">
        <v>0.3</v>
      </c>
      <c r="AA82">
        <v>106.9286476054438</v>
      </c>
      <c r="AB82">
        <v>36.3125</v>
      </c>
      <c r="AC82">
        <v>79.92691175547591</v>
      </c>
      <c r="AD82">
        <v>186.8555593609196</v>
      </c>
      <c r="AE82">
        <v>0.2478118473742847</v>
      </c>
      <c r="AF82">
        <v>18.72993393809881</v>
      </c>
      <c r="AG82">
        <v>-1.877767386027074E-11</v>
      </c>
      <c r="AH82">
        <v>1.003598905728335E-13</v>
      </c>
      <c r="AI82" t="b">
        <v>0</v>
      </c>
      <c r="AJ82" t="b">
        <v>0</v>
      </c>
      <c r="AK82" t="b">
        <v>1</v>
      </c>
      <c r="AL82">
        <v>0.3649129170225933</v>
      </c>
      <c r="AM82" t="b">
        <v>0</v>
      </c>
    </row>
    <row r="83" spans="1:39">
      <c r="A83" t="s">
        <v>144</v>
      </c>
      <c r="B83">
        <v>50</v>
      </c>
      <c r="C83" t="s">
        <v>115</v>
      </c>
      <c r="D83">
        <v>1.875</v>
      </c>
      <c r="E83">
        <v>30</v>
      </c>
      <c r="F83">
        <v>98</v>
      </c>
      <c r="G83">
        <v>10</v>
      </c>
      <c r="H83">
        <v>0.62</v>
      </c>
      <c r="I83">
        <v>50</v>
      </c>
      <c r="J83">
        <v>177.1033712082752</v>
      </c>
      <c r="K83">
        <v>10</v>
      </c>
      <c r="L83">
        <v>187.1033712082752</v>
      </c>
      <c r="M83">
        <v>0</v>
      </c>
      <c r="N83">
        <v>0</v>
      </c>
      <c r="O83">
        <v>1.834375</v>
      </c>
      <c r="P83">
        <v>0.0574787903230887</v>
      </c>
      <c r="Q83">
        <v>59.984375</v>
      </c>
      <c r="R83" t="s">
        <v>122</v>
      </c>
      <c r="S83">
        <v>0.3</v>
      </c>
      <c r="T83">
        <v>60</v>
      </c>
      <c r="U83">
        <v>80</v>
      </c>
      <c r="V83">
        <v>0.0574787903230874</v>
      </c>
      <c r="W83">
        <v>2.209343819004062E-12</v>
      </c>
      <c r="X83">
        <v>59.984375</v>
      </c>
      <c r="Y83">
        <v>60</v>
      </c>
      <c r="Z83">
        <v>0.3</v>
      </c>
      <c r="AA83">
        <v>94.18614735635416</v>
      </c>
      <c r="AB83">
        <v>37.28125</v>
      </c>
      <c r="AC83">
        <v>92.78302647490899</v>
      </c>
      <c r="AD83">
        <v>186.9691738312632</v>
      </c>
      <c r="AE83">
        <v>0.1341973770591296</v>
      </c>
      <c r="AF83">
        <v>13.56097388321609</v>
      </c>
      <c r="AG83">
        <v>-4.711481205177392E-11</v>
      </c>
      <c r="AH83">
        <v>2.518116683174447E-13</v>
      </c>
      <c r="AI83" t="b">
        <v>0</v>
      </c>
      <c r="AJ83" t="b">
        <v>0</v>
      </c>
      <c r="AK83" t="b">
        <v>1</v>
      </c>
      <c r="AL83">
        <v>0.4338718330254778</v>
      </c>
      <c r="AM83" t="b">
        <v>0</v>
      </c>
    </row>
    <row r="84" spans="1:39">
      <c r="A84" t="s">
        <v>144</v>
      </c>
      <c r="B84">
        <v>50</v>
      </c>
      <c r="C84" t="s">
        <v>115</v>
      </c>
      <c r="D84">
        <v>1.875</v>
      </c>
      <c r="E84">
        <v>30</v>
      </c>
      <c r="F84">
        <v>98</v>
      </c>
      <c r="G84">
        <v>10</v>
      </c>
      <c r="H84">
        <v>0.62</v>
      </c>
      <c r="I84">
        <v>50</v>
      </c>
      <c r="J84">
        <v>177.1033712082752</v>
      </c>
      <c r="K84">
        <v>10</v>
      </c>
      <c r="L84">
        <v>187.1033712082752</v>
      </c>
      <c r="M84">
        <v>0</v>
      </c>
      <c r="N84">
        <v>0</v>
      </c>
      <c r="O84">
        <v>1.834375</v>
      </c>
      <c r="P84">
        <v>0.0574787903230887</v>
      </c>
      <c r="Q84">
        <v>59.984375</v>
      </c>
      <c r="R84" t="s">
        <v>123</v>
      </c>
      <c r="S84">
        <v>0.3</v>
      </c>
      <c r="T84">
        <v>60</v>
      </c>
      <c r="U84">
        <v>100</v>
      </c>
      <c r="V84">
        <v>0.0574787903230875</v>
      </c>
      <c r="W84">
        <v>2.19824158875781E-12</v>
      </c>
      <c r="X84">
        <v>59.984375</v>
      </c>
      <c r="Y84">
        <v>60</v>
      </c>
      <c r="Z84">
        <v>0.3</v>
      </c>
      <c r="AA84">
        <v>79.59947477921386</v>
      </c>
      <c r="AB84">
        <v>38.59375</v>
      </c>
      <c r="AC84">
        <v>107.418738223125</v>
      </c>
      <c r="AD84">
        <v>187.0182130023389</v>
      </c>
      <c r="AE84">
        <v>0.08515820595490591</v>
      </c>
      <c r="AF84">
        <v>10.66532257805156</v>
      </c>
      <c r="AG84">
        <v>-1.858213583005863E-11</v>
      </c>
      <c r="AH84">
        <v>9.931481036423349E-14</v>
      </c>
      <c r="AI84" t="b">
        <v>0</v>
      </c>
      <c r="AJ84" t="b">
        <v>0</v>
      </c>
      <c r="AK84" t="b">
        <v>1</v>
      </c>
      <c r="AL84">
        <v>0.4106417500879615</v>
      </c>
      <c r="AM84" t="b">
        <v>0</v>
      </c>
    </row>
    <row r="85" spans="1:39">
      <c r="A85" t="s">
        <v>144</v>
      </c>
      <c r="B85">
        <v>50</v>
      </c>
      <c r="C85" t="s">
        <v>115</v>
      </c>
      <c r="D85">
        <v>1.875</v>
      </c>
      <c r="E85">
        <v>30</v>
      </c>
      <c r="F85">
        <v>98</v>
      </c>
      <c r="G85">
        <v>10</v>
      </c>
      <c r="H85">
        <v>0.62</v>
      </c>
      <c r="I85">
        <v>50</v>
      </c>
      <c r="J85">
        <v>177.1033712082752</v>
      </c>
      <c r="K85">
        <v>10</v>
      </c>
      <c r="L85">
        <v>187.1033712082752</v>
      </c>
      <c r="M85">
        <v>0</v>
      </c>
      <c r="N85">
        <v>0</v>
      </c>
      <c r="O85">
        <v>1.834375</v>
      </c>
      <c r="P85">
        <v>0.0574787903230887</v>
      </c>
      <c r="Q85">
        <v>59.984375</v>
      </c>
      <c r="R85" t="s">
        <v>124</v>
      </c>
      <c r="S85">
        <v>0.45</v>
      </c>
      <c r="T85">
        <v>90</v>
      </c>
      <c r="U85">
        <v>40</v>
      </c>
      <c r="V85">
        <v>0.0574787903230874</v>
      </c>
      <c r="W85">
        <v>2.209343819004062E-12</v>
      </c>
      <c r="X85">
        <v>59.984375</v>
      </c>
      <c r="Y85">
        <v>90</v>
      </c>
      <c r="Z85">
        <v>0.45</v>
      </c>
      <c r="AA85">
        <v>85.67321838099751</v>
      </c>
      <c r="AB85">
        <v>45.0625</v>
      </c>
      <c r="AC85">
        <v>100.5597619987054</v>
      </c>
      <c r="AD85">
        <v>186.2329803797029</v>
      </c>
      <c r="AE85">
        <v>0.8703908285768195</v>
      </c>
      <c r="AF85">
        <v>28.61843805058301</v>
      </c>
      <c r="AG85">
        <v>-4.564681965746331E-12</v>
      </c>
      <c r="AH85">
        <v>2.439657787173236E-14</v>
      </c>
      <c r="AI85" t="b">
        <v>0</v>
      </c>
      <c r="AJ85" t="b">
        <v>0</v>
      </c>
      <c r="AK85" t="b">
        <v>0</v>
      </c>
      <c r="AL85">
        <v>0.3888831249205395</v>
      </c>
      <c r="AM85" t="b">
        <v>0</v>
      </c>
    </row>
    <row r="86" spans="1:39">
      <c r="A86" t="s">
        <v>144</v>
      </c>
      <c r="B86">
        <v>50</v>
      </c>
      <c r="C86" t="s">
        <v>115</v>
      </c>
      <c r="D86">
        <v>1.875</v>
      </c>
      <c r="E86">
        <v>30</v>
      </c>
      <c r="F86">
        <v>98</v>
      </c>
      <c r="G86">
        <v>10</v>
      </c>
      <c r="H86">
        <v>0.62</v>
      </c>
      <c r="I86">
        <v>50</v>
      </c>
      <c r="J86">
        <v>177.1033712082752</v>
      </c>
      <c r="K86">
        <v>10</v>
      </c>
      <c r="L86">
        <v>187.1033712082752</v>
      </c>
      <c r="M86">
        <v>0</v>
      </c>
      <c r="N86">
        <v>0</v>
      </c>
      <c r="O86">
        <v>1.834375</v>
      </c>
      <c r="P86">
        <v>0.0574787903230887</v>
      </c>
      <c r="Q86">
        <v>59.984375</v>
      </c>
      <c r="R86" t="s">
        <v>125</v>
      </c>
      <c r="S86">
        <v>0.45</v>
      </c>
      <c r="T86">
        <v>90</v>
      </c>
      <c r="U86">
        <v>60</v>
      </c>
      <c r="V86">
        <v>0.0574787903230874</v>
      </c>
      <c r="W86">
        <v>2.209343819004062E-12</v>
      </c>
      <c r="X86">
        <v>59.984375</v>
      </c>
      <c r="Y86">
        <v>90</v>
      </c>
      <c r="Z86">
        <v>0.45</v>
      </c>
      <c r="AA86">
        <v>73.86341245637951</v>
      </c>
      <c r="AB86">
        <v>46.34375</v>
      </c>
      <c r="AC86">
        <v>112.9656593683321</v>
      </c>
      <c r="AD86">
        <v>186.8290718247116</v>
      </c>
      <c r="AE86">
        <v>0.2742993835968799</v>
      </c>
      <c r="AF86">
        <v>16.76332685483268</v>
      </c>
      <c r="AG86">
        <v>-3.330696829451085E-11</v>
      </c>
      <c r="AH86">
        <v>1.780137262061142E-13</v>
      </c>
      <c r="AI86" t="b">
        <v>0</v>
      </c>
      <c r="AJ86" t="b">
        <v>0</v>
      </c>
      <c r="AK86" t="b">
        <v>1</v>
      </c>
      <c r="AL86">
        <v>0.3941549999872222</v>
      </c>
      <c r="AM86" t="b">
        <v>0</v>
      </c>
    </row>
    <row r="87" spans="1:39">
      <c r="A87" t="s">
        <v>144</v>
      </c>
      <c r="B87">
        <v>50</v>
      </c>
      <c r="C87" t="s">
        <v>115</v>
      </c>
      <c r="D87">
        <v>1.875</v>
      </c>
      <c r="E87">
        <v>30</v>
      </c>
      <c r="F87">
        <v>98</v>
      </c>
      <c r="G87">
        <v>10</v>
      </c>
      <c r="H87">
        <v>0.62</v>
      </c>
      <c r="I87">
        <v>50</v>
      </c>
      <c r="J87">
        <v>177.1033712082752</v>
      </c>
      <c r="K87">
        <v>10</v>
      </c>
      <c r="L87">
        <v>187.1033712082752</v>
      </c>
      <c r="M87">
        <v>0</v>
      </c>
      <c r="N87">
        <v>0</v>
      </c>
      <c r="O87">
        <v>1.834375</v>
      </c>
      <c r="P87">
        <v>0.0574787903230887</v>
      </c>
      <c r="Q87">
        <v>59.984375</v>
      </c>
      <c r="R87" t="s">
        <v>126</v>
      </c>
      <c r="S87">
        <v>0.45</v>
      </c>
      <c r="T87">
        <v>90</v>
      </c>
      <c r="U87">
        <v>80</v>
      </c>
      <c r="V87">
        <v>0.0574787903230874</v>
      </c>
      <c r="W87">
        <v>2.209343819004062E-12</v>
      </c>
      <c r="X87">
        <v>59.984375</v>
      </c>
      <c r="Y87">
        <v>90</v>
      </c>
      <c r="Z87">
        <v>0.45</v>
      </c>
      <c r="AA87">
        <v>59.31555947918865</v>
      </c>
      <c r="AB87">
        <v>48.21875</v>
      </c>
      <c r="AC87">
        <v>127.6459510156197</v>
      </c>
      <c r="AD87">
        <v>186.9615104948084</v>
      </c>
      <c r="AE87">
        <v>0.1418607135866157</v>
      </c>
      <c r="AF87">
        <v>11.82097508958665</v>
      </c>
      <c r="AG87">
        <v>-1.197893173543463E-10</v>
      </c>
      <c r="AH87">
        <v>6.402306734548472E-13</v>
      </c>
      <c r="AI87" t="b">
        <v>0</v>
      </c>
      <c r="AJ87" t="b">
        <v>0</v>
      </c>
      <c r="AK87" t="b">
        <v>1</v>
      </c>
      <c r="AL87">
        <v>0.4253223750274628</v>
      </c>
      <c r="AM87" t="b">
        <v>0</v>
      </c>
    </row>
    <row r="88" spans="1:39">
      <c r="A88" t="s">
        <v>144</v>
      </c>
      <c r="B88">
        <v>50</v>
      </c>
      <c r="C88" t="s">
        <v>115</v>
      </c>
      <c r="D88">
        <v>1.875</v>
      </c>
      <c r="E88">
        <v>30</v>
      </c>
      <c r="F88">
        <v>98</v>
      </c>
      <c r="G88">
        <v>10</v>
      </c>
      <c r="H88">
        <v>0.62</v>
      </c>
      <c r="I88">
        <v>50</v>
      </c>
      <c r="J88">
        <v>177.1033712082752</v>
      </c>
      <c r="K88">
        <v>10</v>
      </c>
      <c r="L88">
        <v>187.1033712082752</v>
      </c>
      <c r="M88">
        <v>0</v>
      </c>
      <c r="N88">
        <v>0</v>
      </c>
      <c r="O88">
        <v>1.834375</v>
      </c>
      <c r="P88">
        <v>0.0574787903230887</v>
      </c>
      <c r="Q88">
        <v>59.984375</v>
      </c>
      <c r="R88" t="s">
        <v>127</v>
      </c>
      <c r="S88">
        <v>0.45</v>
      </c>
      <c r="T88">
        <v>90</v>
      </c>
      <c r="U88">
        <v>100</v>
      </c>
      <c r="V88">
        <v>0.0574787903230875</v>
      </c>
      <c r="W88">
        <v>2.19824158875781E-12</v>
      </c>
      <c r="X88">
        <v>59.984375</v>
      </c>
      <c r="Y88">
        <v>90</v>
      </c>
      <c r="Z88">
        <v>0.45</v>
      </c>
      <c r="AA88">
        <v>42.84738840427752</v>
      </c>
      <c r="AB88">
        <v>50.90625</v>
      </c>
      <c r="AC88">
        <v>144.1677775923502</v>
      </c>
      <c r="AD88">
        <v>187.0151659966277</v>
      </c>
      <c r="AE88">
        <v>0.08820521192827339</v>
      </c>
      <c r="AF88">
        <v>9.144125041296938</v>
      </c>
      <c r="AG88">
        <v>-2.807966636986237E-10</v>
      </c>
      <c r="AH88">
        <v>1.50075683770579E-12</v>
      </c>
      <c r="AI88" t="b">
        <v>0</v>
      </c>
      <c r="AJ88" t="b">
        <v>0</v>
      </c>
      <c r="AK88" t="b">
        <v>1</v>
      </c>
      <c r="AL88">
        <v>0.3781702920095995</v>
      </c>
      <c r="AM88" t="b">
        <v>0</v>
      </c>
    </row>
    <row r="89" spans="1:39">
      <c r="A89" t="s">
        <v>144</v>
      </c>
      <c r="B89">
        <v>50</v>
      </c>
      <c r="C89" t="s">
        <v>115</v>
      </c>
      <c r="D89">
        <v>1.875</v>
      </c>
      <c r="E89">
        <v>30</v>
      </c>
      <c r="F89">
        <v>98</v>
      </c>
      <c r="G89">
        <v>10</v>
      </c>
      <c r="H89">
        <v>0.62</v>
      </c>
      <c r="I89">
        <v>50</v>
      </c>
      <c r="J89">
        <v>177.1033712082752</v>
      </c>
      <c r="K89">
        <v>10</v>
      </c>
      <c r="L89">
        <v>187.1033712082752</v>
      </c>
      <c r="M89">
        <v>0</v>
      </c>
      <c r="N89">
        <v>0</v>
      </c>
      <c r="O89">
        <v>1.834375</v>
      </c>
      <c r="P89">
        <v>0.0574787903230887</v>
      </c>
      <c r="Q89">
        <v>59.984375</v>
      </c>
      <c r="R89" t="s">
        <v>128</v>
      </c>
      <c r="S89">
        <v>0.6</v>
      </c>
      <c r="T89">
        <v>120</v>
      </c>
      <c r="U89">
        <v>40</v>
      </c>
      <c r="V89">
        <v>0.0574787903230874</v>
      </c>
      <c r="W89">
        <v>2.209343819004062E-12</v>
      </c>
      <c r="X89">
        <v>59.984375</v>
      </c>
      <c r="Y89">
        <v>120</v>
      </c>
      <c r="Z89">
        <v>0.6</v>
      </c>
      <c r="AA89">
        <v>54.68367329275677</v>
      </c>
      <c r="AB89">
        <v>54.375</v>
      </c>
      <c r="AC89">
        <v>131.3065100173133</v>
      </c>
      <c r="AD89">
        <v>185.99018331007</v>
      </c>
      <c r="AE89">
        <v>1.113187898212149</v>
      </c>
      <c r="AF89">
        <v>28.25042484883839</v>
      </c>
      <c r="AG89">
        <v>-6.993960965928636E-12</v>
      </c>
      <c r="AH89">
        <v>3.738019748528886E-14</v>
      </c>
      <c r="AI89" t="b">
        <v>0</v>
      </c>
      <c r="AJ89" t="b">
        <v>0</v>
      </c>
      <c r="AK89" t="b">
        <v>0</v>
      </c>
      <c r="AL89">
        <v>0.4130086660152301</v>
      </c>
      <c r="AM89" t="b">
        <v>0</v>
      </c>
    </row>
    <row r="90" spans="1:39">
      <c r="A90" t="s">
        <v>144</v>
      </c>
      <c r="B90">
        <v>50</v>
      </c>
      <c r="C90" t="s">
        <v>115</v>
      </c>
      <c r="D90">
        <v>1.875</v>
      </c>
      <c r="E90">
        <v>30</v>
      </c>
      <c r="F90">
        <v>98</v>
      </c>
      <c r="G90">
        <v>10</v>
      </c>
      <c r="H90">
        <v>0.62</v>
      </c>
      <c r="I90">
        <v>50</v>
      </c>
      <c r="J90">
        <v>177.1033712082752</v>
      </c>
      <c r="K90">
        <v>10</v>
      </c>
      <c r="L90">
        <v>187.1033712082752</v>
      </c>
      <c r="M90">
        <v>0</v>
      </c>
      <c r="N90">
        <v>0</v>
      </c>
      <c r="O90">
        <v>1.834375</v>
      </c>
      <c r="P90">
        <v>0.0574787903230887</v>
      </c>
      <c r="Q90">
        <v>59.984375</v>
      </c>
      <c r="R90" t="s">
        <v>129</v>
      </c>
      <c r="S90">
        <v>0.6</v>
      </c>
      <c r="T90">
        <v>120</v>
      </c>
      <c r="U90">
        <v>60</v>
      </c>
      <c r="V90">
        <v>0.0574787903230874</v>
      </c>
      <c r="W90">
        <v>2.209343819004062E-12</v>
      </c>
      <c r="X90">
        <v>59.984375</v>
      </c>
      <c r="Y90">
        <v>120</v>
      </c>
      <c r="Z90">
        <v>0.6</v>
      </c>
      <c r="AA90">
        <v>42.02281271811222</v>
      </c>
      <c r="AB90">
        <v>56.3125</v>
      </c>
      <c r="AC90">
        <v>144.7807748285793</v>
      </c>
      <c r="AD90">
        <v>186.8035875466915</v>
      </c>
      <c r="AE90">
        <v>0.2997836616267059</v>
      </c>
      <c r="AF90">
        <v>15.92968392528793</v>
      </c>
      <c r="AG90">
        <v>-4.304545608846411E-11</v>
      </c>
      <c r="AH90">
        <v>2.300624291827848E-13</v>
      </c>
      <c r="AI90" t="b">
        <v>0</v>
      </c>
      <c r="AJ90" t="b">
        <v>0</v>
      </c>
      <c r="AK90" t="b">
        <v>1</v>
      </c>
      <c r="AL90">
        <v>0.4194042909657582</v>
      </c>
      <c r="AM90" t="b">
        <v>0</v>
      </c>
    </row>
    <row r="91" spans="1:39">
      <c r="A91" t="s">
        <v>144</v>
      </c>
      <c r="B91">
        <v>50</v>
      </c>
      <c r="C91" t="s">
        <v>115</v>
      </c>
      <c r="D91">
        <v>1.875</v>
      </c>
      <c r="E91">
        <v>30</v>
      </c>
      <c r="F91">
        <v>98</v>
      </c>
      <c r="G91">
        <v>10</v>
      </c>
      <c r="H91">
        <v>0.62</v>
      </c>
      <c r="I91">
        <v>50</v>
      </c>
      <c r="J91">
        <v>177.1033712082752</v>
      </c>
      <c r="K91">
        <v>10</v>
      </c>
      <c r="L91">
        <v>187.1033712082752</v>
      </c>
      <c r="M91">
        <v>0</v>
      </c>
      <c r="N91">
        <v>0</v>
      </c>
      <c r="O91">
        <v>1.834375</v>
      </c>
      <c r="P91">
        <v>0.0574787903230887</v>
      </c>
      <c r="Q91">
        <v>59.984375</v>
      </c>
      <c r="R91" t="s">
        <v>130</v>
      </c>
      <c r="S91">
        <v>0.6</v>
      </c>
      <c r="T91">
        <v>120</v>
      </c>
      <c r="U91">
        <v>80</v>
      </c>
      <c r="V91">
        <v>0.0574787903230875</v>
      </c>
      <c r="W91">
        <v>2.19824158875781E-12</v>
      </c>
      <c r="X91">
        <v>59.984375</v>
      </c>
      <c r="Y91">
        <v>120</v>
      </c>
      <c r="Z91">
        <v>0.6</v>
      </c>
      <c r="AA91">
        <v>26.6800868179143</v>
      </c>
      <c r="AB91">
        <v>59.34375</v>
      </c>
      <c r="AC91">
        <v>160.2745354799277</v>
      </c>
      <c r="AD91">
        <v>186.954622297842</v>
      </c>
      <c r="AE91">
        <v>0.1487489106109914</v>
      </c>
      <c r="AF91">
        <v>10.97299274873838</v>
      </c>
      <c r="AG91">
        <v>-1.777645253220328E-10</v>
      </c>
      <c r="AH91">
        <v>9.500872388031599E-13</v>
      </c>
      <c r="AI91" t="b">
        <v>0</v>
      </c>
      <c r="AJ91" t="b">
        <v>0</v>
      </c>
      <c r="AK91" t="b">
        <v>1</v>
      </c>
      <c r="AL91">
        <v>0.4120357079664245</v>
      </c>
      <c r="AM91" t="b">
        <v>0</v>
      </c>
    </row>
    <row r="92" spans="1:39">
      <c r="A92" t="s">
        <v>144</v>
      </c>
      <c r="B92">
        <v>50</v>
      </c>
      <c r="C92" t="s">
        <v>115</v>
      </c>
      <c r="D92">
        <v>1.875</v>
      </c>
      <c r="E92">
        <v>30</v>
      </c>
      <c r="F92">
        <v>98</v>
      </c>
      <c r="G92">
        <v>10</v>
      </c>
      <c r="H92">
        <v>0.62</v>
      </c>
      <c r="I92">
        <v>50</v>
      </c>
      <c r="J92">
        <v>177.1033712082752</v>
      </c>
      <c r="K92">
        <v>10</v>
      </c>
      <c r="L92">
        <v>187.1033712082752</v>
      </c>
      <c r="M92">
        <v>0</v>
      </c>
      <c r="N92">
        <v>0</v>
      </c>
      <c r="O92">
        <v>1.834375</v>
      </c>
      <c r="P92">
        <v>0.0574787903230887</v>
      </c>
      <c r="Q92">
        <v>59.984375</v>
      </c>
      <c r="R92" t="s">
        <v>131</v>
      </c>
      <c r="S92">
        <v>0.6</v>
      </c>
      <c r="T92">
        <v>120</v>
      </c>
      <c r="U92">
        <v>100</v>
      </c>
      <c r="V92">
        <v>0.0523658466607003</v>
      </c>
      <c r="W92">
        <v>8.895357111116232</v>
      </c>
      <c r="X92">
        <v>64.359375</v>
      </c>
      <c r="Y92">
        <v>120</v>
      </c>
      <c r="Z92">
        <v>0.6</v>
      </c>
      <c r="AA92">
        <v>9.796954955160835</v>
      </c>
      <c r="AB92">
        <v>64.3125</v>
      </c>
      <c r="AC92">
        <v>177.2155535011036</v>
      </c>
      <c r="AD92">
        <v>187.0125084562644</v>
      </c>
      <c r="AE92">
        <v>0.09086275251579171</v>
      </c>
      <c r="AF92">
        <v>8.357576815376129</v>
      </c>
      <c r="AG92">
        <v>-5.049989731942262E-10</v>
      </c>
      <c r="AH92">
        <v>2.69903727513324E-12</v>
      </c>
      <c r="AI92" t="b">
        <v>0</v>
      </c>
      <c r="AJ92" t="b">
        <v>0</v>
      </c>
      <c r="AK92" t="b">
        <v>1</v>
      </c>
      <c r="AL92">
        <v>0.4507940000621602</v>
      </c>
      <c r="AM92" t="b">
        <v>0</v>
      </c>
    </row>
    <row r="93" spans="1:39">
      <c r="A93" t="s">
        <v>144</v>
      </c>
      <c r="B93">
        <v>50</v>
      </c>
      <c r="C93" t="s">
        <v>115</v>
      </c>
      <c r="D93">
        <v>1.875</v>
      </c>
      <c r="E93">
        <v>30</v>
      </c>
      <c r="F93">
        <v>98</v>
      </c>
      <c r="G93">
        <v>10</v>
      </c>
      <c r="H93">
        <v>0.62</v>
      </c>
      <c r="I93">
        <v>50</v>
      </c>
      <c r="J93">
        <v>177.1033712082752</v>
      </c>
      <c r="K93">
        <v>10</v>
      </c>
      <c r="L93">
        <v>187.1033712082752</v>
      </c>
      <c r="M93">
        <v>0</v>
      </c>
      <c r="N93">
        <v>0</v>
      </c>
      <c r="O93">
        <v>1.834375</v>
      </c>
      <c r="P93">
        <v>0.0574787903230887</v>
      </c>
      <c r="Q93">
        <v>59.984375</v>
      </c>
      <c r="R93" t="s">
        <v>132</v>
      </c>
      <c r="S93">
        <v>0.75</v>
      </c>
      <c r="T93">
        <v>150</v>
      </c>
      <c r="U93">
        <v>40</v>
      </c>
      <c r="V93">
        <v>0.0529554380966601</v>
      </c>
      <c r="W93">
        <v>7.86960233679731</v>
      </c>
      <c r="X93">
        <v>63.921875</v>
      </c>
      <c r="Y93">
        <v>150</v>
      </c>
      <c r="Z93">
        <v>0.75</v>
      </c>
      <c r="AA93">
        <v>24.0641678502659</v>
      </c>
      <c r="AB93">
        <v>63.875</v>
      </c>
      <c r="AC93">
        <v>161.6182962723915</v>
      </c>
      <c r="AD93">
        <v>185.6824641226574</v>
      </c>
      <c r="AE93">
        <v>1.420907085623225</v>
      </c>
      <c r="AF93">
        <v>28.51890495502587</v>
      </c>
      <c r="AG93">
        <v>-5.440092820663267E-12</v>
      </c>
      <c r="AH93">
        <v>2.907533298589044E-14</v>
      </c>
      <c r="AI93" t="b">
        <v>0</v>
      </c>
      <c r="AJ93" t="b">
        <v>0</v>
      </c>
      <c r="AK93" t="b">
        <v>0</v>
      </c>
      <c r="AL93">
        <v>0.4023073330754414</v>
      </c>
      <c r="AM93" t="b">
        <v>0</v>
      </c>
    </row>
    <row r="94" spans="1:39">
      <c r="A94" t="s">
        <v>144</v>
      </c>
      <c r="B94">
        <v>50</v>
      </c>
      <c r="C94" t="s">
        <v>115</v>
      </c>
      <c r="D94">
        <v>1.875</v>
      </c>
      <c r="E94">
        <v>30</v>
      </c>
      <c r="F94">
        <v>98</v>
      </c>
      <c r="G94">
        <v>10</v>
      </c>
      <c r="H94">
        <v>0.62</v>
      </c>
      <c r="I94">
        <v>50</v>
      </c>
      <c r="J94">
        <v>177.1033712082752</v>
      </c>
      <c r="K94">
        <v>10</v>
      </c>
      <c r="L94">
        <v>187.1033712082752</v>
      </c>
      <c r="M94">
        <v>0</v>
      </c>
      <c r="N94">
        <v>0</v>
      </c>
      <c r="O94">
        <v>1.834375</v>
      </c>
      <c r="P94">
        <v>0.0574787903230887</v>
      </c>
      <c r="Q94">
        <v>59.984375</v>
      </c>
      <c r="R94" t="s">
        <v>133</v>
      </c>
      <c r="S94">
        <v>0.75</v>
      </c>
      <c r="T94">
        <v>150</v>
      </c>
      <c r="U94">
        <v>60</v>
      </c>
      <c r="V94">
        <v>0.045145516687368</v>
      </c>
      <c r="W94">
        <v>21.45708628590693</v>
      </c>
      <c r="X94">
        <v>67.234375</v>
      </c>
      <c r="Y94">
        <v>150</v>
      </c>
      <c r="Z94">
        <v>0.75</v>
      </c>
      <c r="AA94">
        <v>11.02622761679648</v>
      </c>
      <c r="AB94">
        <v>67.1875</v>
      </c>
      <c r="AC94">
        <v>175.7519920302602</v>
      </c>
      <c r="AD94">
        <v>186.7782196470566</v>
      </c>
      <c r="AE94">
        <v>0.3251515612706279</v>
      </c>
      <c r="AF94">
        <v>15.5908267238194</v>
      </c>
      <c r="AG94">
        <v>-5.210915032805018E-11</v>
      </c>
      <c r="AH94">
        <v>2.785046041209199E-13</v>
      </c>
      <c r="AI94" t="b">
        <v>0</v>
      </c>
      <c r="AJ94" t="b">
        <v>0</v>
      </c>
      <c r="AK94" t="b">
        <v>1</v>
      </c>
      <c r="AL94">
        <v>0.4260857499903068</v>
      </c>
      <c r="AM94" t="b">
        <v>0</v>
      </c>
    </row>
    <row r="95" spans="1:39">
      <c r="A95" t="s">
        <v>144</v>
      </c>
      <c r="B95">
        <v>50</v>
      </c>
      <c r="C95" t="s">
        <v>115</v>
      </c>
      <c r="D95">
        <v>1.875</v>
      </c>
      <c r="E95">
        <v>30</v>
      </c>
      <c r="F95">
        <v>98</v>
      </c>
      <c r="G95">
        <v>10</v>
      </c>
      <c r="H95">
        <v>0.62</v>
      </c>
      <c r="I95">
        <v>50</v>
      </c>
      <c r="J95">
        <v>177.1033712082752</v>
      </c>
      <c r="K95">
        <v>10</v>
      </c>
      <c r="L95">
        <v>187.1033712082752</v>
      </c>
      <c r="M95">
        <v>0</v>
      </c>
      <c r="N95">
        <v>0</v>
      </c>
      <c r="O95">
        <v>1.834375</v>
      </c>
      <c r="P95">
        <v>0.0574787903230887</v>
      </c>
      <c r="Q95">
        <v>59.984375</v>
      </c>
      <c r="R95" t="s">
        <v>134</v>
      </c>
      <c r="S95">
        <v>0.75</v>
      </c>
      <c r="T95">
        <v>150</v>
      </c>
      <c r="U95">
        <v>80</v>
      </c>
      <c r="V95">
        <v>0.0145810125291942</v>
      </c>
      <c r="W95">
        <v>74.63236013278242</v>
      </c>
      <c r="X95">
        <v>75.640625</v>
      </c>
      <c r="Y95">
        <v>145.7315864031256</v>
      </c>
      <c r="Z95">
        <v>0.7286579320156279</v>
      </c>
      <c r="AA95">
        <v>0</v>
      </c>
      <c r="AC95">
        <v>186.9490703610467</v>
      </c>
      <c r="AD95">
        <v>186.9490703610467</v>
      </c>
      <c r="AE95">
        <v>0.1543008474503999</v>
      </c>
      <c r="AF95">
        <v>10.44391701557124</v>
      </c>
      <c r="AG95">
        <v>-2.219444905637857E-10</v>
      </c>
      <c r="AH95">
        <v>1.186213210005324E-12</v>
      </c>
      <c r="AI95" t="b">
        <v>1</v>
      </c>
      <c r="AJ95" t="b">
        <v>1</v>
      </c>
      <c r="AK95" t="b">
        <v>1</v>
      </c>
      <c r="AL95">
        <v>0.4312179590342566</v>
      </c>
      <c r="AM95" t="b">
        <v>1</v>
      </c>
    </row>
    <row r="96" spans="1:39">
      <c r="A96" t="s">
        <v>144</v>
      </c>
      <c r="B96">
        <v>50</v>
      </c>
      <c r="C96" t="s">
        <v>115</v>
      </c>
      <c r="D96">
        <v>1.875</v>
      </c>
      <c r="E96">
        <v>30</v>
      </c>
      <c r="F96">
        <v>98</v>
      </c>
      <c r="G96">
        <v>10</v>
      </c>
      <c r="H96">
        <v>0.62</v>
      </c>
      <c r="I96">
        <v>50</v>
      </c>
      <c r="J96">
        <v>177.1033712082752</v>
      </c>
      <c r="K96">
        <v>10</v>
      </c>
      <c r="L96">
        <v>187.1033712082752</v>
      </c>
      <c r="M96">
        <v>0</v>
      </c>
      <c r="N96">
        <v>0</v>
      </c>
      <c r="O96">
        <v>1.834375</v>
      </c>
      <c r="P96">
        <v>0.0574787903230887</v>
      </c>
      <c r="Q96">
        <v>59.984375</v>
      </c>
      <c r="R96" t="s">
        <v>135</v>
      </c>
      <c r="S96">
        <v>0.75</v>
      </c>
      <c r="T96">
        <v>150</v>
      </c>
      <c r="U96">
        <v>100</v>
      </c>
      <c r="V96">
        <v>0.0212161411911311</v>
      </c>
      <c r="W96">
        <v>63.08874791575288</v>
      </c>
      <c r="X96">
        <v>73.390625</v>
      </c>
      <c r="Y96">
        <v>129.4765422254501</v>
      </c>
      <c r="Z96">
        <v>0.6473827111272504</v>
      </c>
      <c r="AA96">
        <v>0</v>
      </c>
      <c r="AC96">
        <v>187.0117219569744</v>
      </c>
      <c r="AD96">
        <v>187.0117219569744</v>
      </c>
      <c r="AE96">
        <v>0.09164925189940749</v>
      </c>
      <c r="AF96">
        <v>7.652657663283192</v>
      </c>
      <c r="AG96">
        <v>-5.985852508105792E-10</v>
      </c>
      <c r="AH96">
        <v>3.199222156955477E-12</v>
      </c>
      <c r="AI96" t="b">
        <v>1</v>
      </c>
      <c r="AJ96" t="b">
        <v>1</v>
      </c>
      <c r="AK96" t="b">
        <v>1</v>
      </c>
      <c r="AL96">
        <v>0.3939597499556839</v>
      </c>
      <c r="AM96" t="b">
        <v>1</v>
      </c>
    </row>
    <row r="97" spans="1:39">
      <c r="A97" t="s">
        <v>144</v>
      </c>
      <c r="B97">
        <v>50</v>
      </c>
      <c r="C97" t="s">
        <v>115</v>
      </c>
      <c r="D97">
        <v>1.875</v>
      </c>
      <c r="E97">
        <v>30</v>
      </c>
      <c r="F97">
        <v>98</v>
      </c>
      <c r="G97">
        <v>10</v>
      </c>
      <c r="H97">
        <v>0.62</v>
      </c>
      <c r="I97">
        <v>50</v>
      </c>
      <c r="J97">
        <v>177.1033712082752</v>
      </c>
      <c r="K97">
        <v>10</v>
      </c>
      <c r="L97">
        <v>187.1033712082752</v>
      </c>
      <c r="M97">
        <v>0</v>
      </c>
      <c r="N97">
        <v>0</v>
      </c>
      <c r="O97">
        <v>1.834375</v>
      </c>
      <c r="P97">
        <v>0.0574787903230887</v>
      </c>
      <c r="Q97">
        <v>59.984375</v>
      </c>
      <c r="R97" t="s">
        <v>136</v>
      </c>
      <c r="S97">
        <v>0.9</v>
      </c>
      <c r="T97">
        <v>180</v>
      </c>
      <c r="U97">
        <v>40</v>
      </c>
      <c r="V97">
        <v>0.0040479887812852</v>
      </c>
      <c r="W97">
        <v>92.95742175760584</v>
      </c>
      <c r="X97">
        <v>83.453125</v>
      </c>
      <c r="Y97">
        <v>173.8066386687667</v>
      </c>
      <c r="Z97">
        <v>0.8690331933438336</v>
      </c>
      <c r="AA97">
        <v>0</v>
      </c>
      <c r="AC97">
        <v>185.3732337058246</v>
      </c>
      <c r="AD97">
        <v>185.3732337058246</v>
      </c>
      <c r="AE97">
        <v>1.730137502454724</v>
      </c>
      <c r="AF97">
        <v>28.68023146158736</v>
      </c>
      <c r="AG97">
        <v>-4.107381101903229E-12</v>
      </c>
      <c r="AH97">
        <v>2.195246977848985E-14</v>
      </c>
      <c r="AI97" t="b">
        <v>1</v>
      </c>
      <c r="AJ97" t="b">
        <v>1</v>
      </c>
      <c r="AK97" t="b">
        <v>0</v>
      </c>
      <c r="AL97">
        <v>0.4028660830808803</v>
      </c>
      <c r="AM97" t="b">
        <v>0</v>
      </c>
    </row>
    <row r="98" spans="1:39">
      <c r="A98" t="s">
        <v>144</v>
      </c>
      <c r="B98">
        <v>50</v>
      </c>
      <c r="C98" t="s">
        <v>115</v>
      </c>
      <c r="D98">
        <v>1.875</v>
      </c>
      <c r="E98">
        <v>30</v>
      </c>
      <c r="F98">
        <v>98</v>
      </c>
      <c r="G98">
        <v>10</v>
      </c>
      <c r="H98">
        <v>0.62</v>
      </c>
      <c r="I98">
        <v>50</v>
      </c>
      <c r="J98">
        <v>177.1033712082752</v>
      </c>
      <c r="K98">
        <v>10</v>
      </c>
      <c r="L98">
        <v>187.1033712082752</v>
      </c>
      <c r="M98">
        <v>0</v>
      </c>
      <c r="N98">
        <v>0</v>
      </c>
      <c r="O98">
        <v>1.834375</v>
      </c>
      <c r="P98">
        <v>0.0574787903230887</v>
      </c>
      <c r="Q98">
        <v>59.984375</v>
      </c>
      <c r="R98" t="s">
        <v>137</v>
      </c>
      <c r="S98">
        <v>0.9</v>
      </c>
      <c r="T98">
        <v>180</v>
      </c>
      <c r="U98">
        <v>60</v>
      </c>
      <c r="V98">
        <v>0.008697855863966399</v>
      </c>
      <c r="W98">
        <v>84.86771239430099</v>
      </c>
      <c r="X98">
        <v>78.796875</v>
      </c>
      <c r="Y98">
        <v>160.8708545413791</v>
      </c>
      <c r="Z98">
        <v>0.8043542727068954</v>
      </c>
      <c r="AA98">
        <v>0</v>
      </c>
      <c r="AC98">
        <v>186.7689580738148</v>
      </c>
      <c r="AD98">
        <v>186.7689580738148</v>
      </c>
      <c r="AE98">
        <v>0.3344131345153999</v>
      </c>
      <c r="AF98">
        <v>14.92284014919635</v>
      </c>
      <c r="AG98">
        <v>-5.498057564778946E-11</v>
      </c>
      <c r="AH98">
        <v>2.938513362572582E-13</v>
      </c>
      <c r="AI98" t="b">
        <v>1</v>
      </c>
      <c r="AJ98" t="b">
        <v>1</v>
      </c>
      <c r="AK98" t="b">
        <v>1</v>
      </c>
      <c r="AL98">
        <v>0.3978219591081142</v>
      </c>
      <c r="AM98" t="b">
        <v>1</v>
      </c>
    </row>
    <row r="99" spans="1:39">
      <c r="A99" t="s">
        <v>144</v>
      </c>
      <c r="B99">
        <v>50</v>
      </c>
      <c r="C99" t="s">
        <v>115</v>
      </c>
      <c r="D99">
        <v>1.875</v>
      </c>
      <c r="E99">
        <v>30</v>
      </c>
      <c r="F99">
        <v>98</v>
      </c>
      <c r="G99">
        <v>10</v>
      </c>
      <c r="H99">
        <v>0.62</v>
      </c>
      <c r="I99">
        <v>50</v>
      </c>
      <c r="J99">
        <v>177.1033712082752</v>
      </c>
      <c r="K99">
        <v>10</v>
      </c>
      <c r="L99">
        <v>187.1033712082752</v>
      </c>
      <c r="M99">
        <v>0</v>
      </c>
      <c r="N99">
        <v>0</v>
      </c>
      <c r="O99">
        <v>1.834375</v>
      </c>
      <c r="P99">
        <v>0.0574787903230887</v>
      </c>
      <c r="Q99">
        <v>59.984375</v>
      </c>
      <c r="R99" t="s">
        <v>138</v>
      </c>
      <c r="S99">
        <v>0.9</v>
      </c>
      <c r="T99">
        <v>180</v>
      </c>
      <c r="U99">
        <v>80</v>
      </c>
      <c r="V99">
        <v>0.0145810125291942</v>
      </c>
      <c r="W99">
        <v>74.63236013278242</v>
      </c>
      <c r="X99">
        <v>75.640625</v>
      </c>
      <c r="Y99">
        <v>145.7315864031256</v>
      </c>
      <c r="Z99">
        <v>0.7286579320156279</v>
      </c>
      <c r="AA99">
        <v>0</v>
      </c>
      <c r="AC99">
        <v>186.9490703610467</v>
      </c>
      <c r="AD99">
        <v>186.9490703610467</v>
      </c>
      <c r="AE99">
        <v>0.1543008474503999</v>
      </c>
      <c r="AF99">
        <v>9.680494960645651</v>
      </c>
      <c r="AG99">
        <v>-2.219444905637857E-10</v>
      </c>
      <c r="AH99">
        <v>1.186213210005324E-12</v>
      </c>
      <c r="AI99" t="b">
        <v>1</v>
      </c>
      <c r="AJ99" t="b">
        <v>1</v>
      </c>
      <c r="AK99" t="b">
        <v>1</v>
      </c>
      <c r="AL99">
        <v>0.3838419170351699</v>
      </c>
      <c r="AM99" t="b">
        <v>1</v>
      </c>
    </row>
    <row r="100" spans="1:39">
      <c r="A100" t="s">
        <v>144</v>
      </c>
      <c r="B100">
        <v>50</v>
      </c>
      <c r="C100" t="s">
        <v>115</v>
      </c>
      <c r="D100">
        <v>1.875</v>
      </c>
      <c r="E100">
        <v>30</v>
      </c>
      <c r="F100">
        <v>98</v>
      </c>
      <c r="G100">
        <v>10</v>
      </c>
      <c r="H100">
        <v>0.62</v>
      </c>
      <c r="I100">
        <v>50</v>
      </c>
      <c r="J100">
        <v>177.1033712082752</v>
      </c>
      <c r="K100">
        <v>10</v>
      </c>
      <c r="L100">
        <v>187.1033712082752</v>
      </c>
      <c r="M100">
        <v>0</v>
      </c>
      <c r="N100">
        <v>0</v>
      </c>
      <c r="O100">
        <v>1.834375</v>
      </c>
      <c r="P100">
        <v>0.0574787903230887</v>
      </c>
      <c r="Q100">
        <v>59.984375</v>
      </c>
      <c r="R100" t="s">
        <v>139</v>
      </c>
      <c r="S100">
        <v>0.9</v>
      </c>
      <c r="T100">
        <v>180</v>
      </c>
      <c r="U100">
        <v>100</v>
      </c>
      <c r="V100">
        <v>0.0212161411911311</v>
      </c>
      <c r="W100">
        <v>63.08874791575288</v>
      </c>
      <c r="X100">
        <v>73.390625</v>
      </c>
      <c r="Y100">
        <v>129.4765422254501</v>
      </c>
      <c r="Z100">
        <v>0.6473827111272504</v>
      </c>
      <c r="AA100">
        <v>0</v>
      </c>
      <c r="AC100">
        <v>187.0117219569744</v>
      </c>
      <c r="AD100">
        <v>187.0117219569744</v>
      </c>
      <c r="AE100">
        <v>0.09164925189940749</v>
      </c>
      <c r="AF100">
        <v>7.04190578526315</v>
      </c>
      <c r="AG100">
        <v>-5.985852508105792E-10</v>
      </c>
      <c r="AH100">
        <v>3.199222156955477E-12</v>
      </c>
      <c r="AI100" t="b">
        <v>1</v>
      </c>
      <c r="AJ100" t="b">
        <v>1</v>
      </c>
      <c r="AK100" t="b">
        <v>1</v>
      </c>
      <c r="AL100">
        <v>0.3736224169842899</v>
      </c>
      <c r="AM100" t="b">
        <v>1</v>
      </c>
    </row>
    <row r="101" spans="1:39">
      <c r="A101" t="s">
        <v>145</v>
      </c>
      <c r="B101">
        <v>50</v>
      </c>
      <c r="C101" t="s">
        <v>141</v>
      </c>
      <c r="D101">
        <v>1.875</v>
      </c>
      <c r="E101">
        <v>60</v>
      </c>
      <c r="F101">
        <v>98</v>
      </c>
      <c r="G101">
        <v>10</v>
      </c>
      <c r="H101">
        <v>0.62</v>
      </c>
      <c r="I101">
        <v>50</v>
      </c>
      <c r="J101">
        <v>177.1033712082752</v>
      </c>
      <c r="K101">
        <v>9.999999999999998</v>
      </c>
      <c r="L101">
        <v>187.1033712082752</v>
      </c>
      <c r="M101">
        <v>0</v>
      </c>
      <c r="N101">
        <v>0</v>
      </c>
      <c r="O101">
        <v>1.834375</v>
      </c>
      <c r="P101">
        <v>0.0731913624882804</v>
      </c>
      <c r="Q101">
        <v>26.234375</v>
      </c>
      <c r="R101" t="s">
        <v>116</v>
      </c>
      <c r="S101">
        <v>0.15</v>
      </c>
      <c r="T101">
        <v>30</v>
      </c>
      <c r="U101">
        <v>40</v>
      </c>
      <c r="V101">
        <v>0.0731913624882812</v>
      </c>
      <c r="W101">
        <v>-9.992007221626409E-13</v>
      </c>
      <c r="X101">
        <v>26.234375</v>
      </c>
      <c r="Y101">
        <v>30</v>
      </c>
      <c r="Z101">
        <v>0.15</v>
      </c>
      <c r="AA101">
        <v>149.9520190690981</v>
      </c>
      <c r="AB101">
        <v>19.15625</v>
      </c>
      <c r="AC101">
        <v>37.02560094475641</v>
      </c>
      <c r="AD101">
        <v>186.9776200138545</v>
      </c>
      <c r="AE101">
        <v>0.125751194421404</v>
      </c>
      <c r="AF101">
        <v>37.66325618629267</v>
      </c>
      <c r="AG101">
        <v>-7.313871730474375E-13</v>
      </c>
      <c r="AH101">
        <v>3.909000507710199E-15</v>
      </c>
      <c r="AI101" t="b">
        <v>0</v>
      </c>
      <c r="AJ101" t="b">
        <v>0</v>
      </c>
      <c r="AK101" t="b">
        <v>0</v>
      </c>
      <c r="AL101">
        <v>1.095425707986578</v>
      </c>
      <c r="AM101" t="b">
        <v>0</v>
      </c>
    </row>
    <row r="102" spans="1:39">
      <c r="A102" t="s">
        <v>145</v>
      </c>
      <c r="B102">
        <v>50</v>
      </c>
      <c r="C102" t="s">
        <v>141</v>
      </c>
      <c r="D102">
        <v>1.875</v>
      </c>
      <c r="E102">
        <v>30</v>
      </c>
      <c r="F102">
        <v>98</v>
      </c>
      <c r="G102">
        <v>10</v>
      </c>
      <c r="H102">
        <v>0.62</v>
      </c>
      <c r="I102">
        <v>50</v>
      </c>
      <c r="J102">
        <v>177.1033712082752</v>
      </c>
      <c r="K102">
        <v>9.999999999999998</v>
      </c>
      <c r="L102">
        <v>187.1033712082752</v>
      </c>
      <c r="M102">
        <v>0</v>
      </c>
      <c r="N102">
        <v>0</v>
      </c>
      <c r="O102">
        <v>1.834375</v>
      </c>
      <c r="P102">
        <v>0.0731913624882804</v>
      </c>
      <c r="Q102">
        <v>26.234375</v>
      </c>
      <c r="R102" t="s">
        <v>117</v>
      </c>
      <c r="S102">
        <v>0.15</v>
      </c>
      <c r="T102">
        <v>30</v>
      </c>
      <c r="U102">
        <v>60</v>
      </c>
      <c r="V102">
        <v>0.0731913624882812</v>
      </c>
      <c r="W102">
        <v>-9.992007221626409E-13</v>
      </c>
      <c r="X102">
        <v>26.234375</v>
      </c>
      <c r="Y102">
        <v>30</v>
      </c>
      <c r="Z102">
        <v>0.15</v>
      </c>
      <c r="AA102">
        <v>142.7121592076106</v>
      </c>
      <c r="AB102">
        <v>19.28125</v>
      </c>
      <c r="AC102">
        <v>44.17479772803996</v>
      </c>
      <c r="AD102">
        <v>186.8869569356506</v>
      </c>
      <c r="AE102">
        <v>0.2164142726234491</v>
      </c>
      <c r="AF102">
        <v>24.36650983410906</v>
      </c>
      <c r="AG102">
        <v>1.155020523668782E-12</v>
      </c>
      <c r="AH102">
        <v>6.173167892218596E-15</v>
      </c>
      <c r="AI102" t="b">
        <v>0</v>
      </c>
      <c r="AJ102" t="b">
        <v>0</v>
      </c>
      <c r="AK102" t="b">
        <v>0</v>
      </c>
      <c r="AL102">
        <v>0.3522226250497624</v>
      </c>
      <c r="AM102" t="b">
        <v>0</v>
      </c>
    </row>
    <row r="103" spans="1:39">
      <c r="A103" t="s">
        <v>145</v>
      </c>
      <c r="B103">
        <v>50</v>
      </c>
      <c r="C103" t="s">
        <v>141</v>
      </c>
      <c r="D103">
        <v>1.875</v>
      </c>
      <c r="E103">
        <v>30</v>
      </c>
      <c r="F103">
        <v>98</v>
      </c>
      <c r="G103">
        <v>10</v>
      </c>
      <c r="H103">
        <v>0.62</v>
      </c>
      <c r="I103">
        <v>50</v>
      </c>
      <c r="J103">
        <v>177.1033712082752</v>
      </c>
      <c r="K103">
        <v>9.999999999999998</v>
      </c>
      <c r="L103">
        <v>187.1033712082752</v>
      </c>
      <c r="M103">
        <v>0</v>
      </c>
      <c r="N103">
        <v>0</v>
      </c>
      <c r="O103">
        <v>1.834375</v>
      </c>
      <c r="P103">
        <v>0.0731913624882804</v>
      </c>
      <c r="Q103">
        <v>26.234375</v>
      </c>
      <c r="R103" t="s">
        <v>118</v>
      </c>
      <c r="S103">
        <v>0.15</v>
      </c>
      <c r="T103">
        <v>30</v>
      </c>
      <c r="U103">
        <v>80</v>
      </c>
      <c r="V103">
        <v>0.0731913624882812</v>
      </c>
      <c r="W103">
        <v>-9.992007221626409E-13</v>
      </c>
      <c r="X103">
        <v>26.234375</v>
      </c>
      <c r="Y103">
        <v>30</v>
      </c>
      <c r="Z103">
        <v>0.15</v>
      </c>
      <c r="AA103">
        <v>133.9657767537869</v>
      </c>
      <c r="AB103">
        <v>19.46875</v>
      </c>
      <c r="AC103">
        <v>53.01368343100121</v>
      </c>
      <c r="AD103">
        <v>186.9794601847882</v>
      </c>
      <c r="AE103">
        <v>0.1239110234508905</v>
      </c>
      <c r="AF103">
        <v>18.10759823412941</v>
      </c>
      <c r="AG103">
        <v>3.617740829131577E-11</v>
      </c>
      <c r="AH103">
        <v>1.933551921469372E-13</v>
      </c>
      <c r="AI103" t="b">
        <v>0</v>
      </c>
      <c r="AJ103" t="b">
        <v>0</v>
      </c>
      <c r="AK103" t="b">
        <v>1</v>
      </c>
      <c r="AL103">
        <v>0.3500537079526111</v>
      </c>
      <c r="AM103" t="b">
        <v>0</v>
      </c>
    </row>
    <row r="104" spans="1:39">
      <c r="A104" t="s">
        <v>145</v>
      </c>
      <c r="B104">
        <v>50</v>
      </c>
      <c r="C104" t="s">
        <v>141</v>
      </c>
      <c r="D104">
        <v>1.875</v>
      </c>
      <c r="E104">
        <v>30</v>
      </c>
      <c r="F104">
        <v>98</v>
      </c>
      <c r="G104">
        <v>10</v>
      </c>
      <c r="H104">
        <v>0.62</v>
      </c>
      <c r="I104">
        <v>50</v>
      </c>
      <c r="J104">
        <v>177.1033712082752</v>
      </c>
      <c r="K104">
        <v>9.999999999999998</v>
      </c>
      <c r="L104">
        <v>187.1033712082752</v>
      </c>
      <c r="M104">
        <v>0</v>
      </c>
      <c r="N104">
        <v>0</v>
      </c>
      <c r="O104">
        <v>1.834375</v>
      </c>
      <c r="P104">
        <v>0.0731913624882804</v>
      </c>
      <c r="Q104">
        <v>26.234375</v>
      </c>
      <c r="R104" t="s">
        <v>119</v>
      </c>
      <c r="S104">
        <v>0.15</v>
      </c>
      <c r="T104">
        <v>30</v>
      </c>
      <c r="U104">
        <v>100</v>
      </c>
      <c r="V104">
        <v>0.0731913624882812</v>
      </c>
      <c r="W104">
        <v>-9.992007221626409E-13</v>
      </c>
      <c r="X104">
        <v>26.234375</v>
      </c>
      <c r="Y104">
        <v>30</v>
      </c>
      <c r="Z104">
        <v>0.15</v>
      </c>
      <c r="AA104">
        <v>124.2745835244304</v>
      </c>
      <c r="AB104">
        <v>19.625</v>
      </c>
      <c r="AC104">
        <v>62.74810113263241</v>
      </c>
      <c r="AD104">
        <v>187.0226846570628</v>
      </c>
      <c r="AE104">
        <v>0.0806865510448377</v>
      </c>
      <c r="AF104">
        <v>14.45179089874671</v>
      </c>
      <c r="AG104">
        <v>1.675429656122773E-10</v>
      </c>
      <c r="AH104">
        <v>8.95456690760403E-13</v>
      </c>
      <c r="AI104" t="b">
        <v>0</v>
      </c>
      <c r="AJ104" t="b">
        <v>0</v>
      </c>
      <c r="AK104" t="b">
        <v>1</v>
      </c>
      <c r="AL104">
        <v>0.3609132079873234</v>
      </c>
      <c r="AM104" t="b">
        <v>0</v>
      </c>
    </row>
    <row r="105" spans="1:39">
      <c r="A105" t="s">
        <v>145</v>
      </c>
      <c r="B105">
        <v>50</v>
      </c>
      <c r="C105" t="s">
        <v>141</v>
      </c>
      <c r="D105">
        <v>1.875</v>
      </c>
      <c r="E105">
        <v>60</v>
      </c>
      <c r="F105">
        <v>98</v>
      </c>
      <c r="G105">
        <v>10</v>
      </c>
      <c r="H105">
        <v>0.62</v>
      </c>
      <c r="I105">
        <v>50</v>
      </c>
      <c r="J105">
        <v>177.1033712082752</v>
      </c>
      <c r="K105">
        <v>9.999999999999998</v>
      </c>
      <c r="L105">
        <v>187.1033712082752</v>
      </c>
      <c r="M105">
        <v>0</v>
      </c>
      <c r="N105">
        <v>0</v>
      </c>
      <c r="O105">
        <v>1.834375</v>
      </c>
      <c r="P105">
        <v>0.0731913624882804</v>
      </c>
      <c r="Q105">
        <v>26.234375</v>
      </c>
      <c r="R105" t="s">
        <v>120</v>
      </c>
      <c r="S105">
        <v>0.3</v>
      </c>
      <c r="T105">
        <v>60</v>
      </c>
      <c r="U105">
        <v>40</v>
      </c>
      <c r="V105">
        <v>0.0731827954733679</v>
      </c>
      <c r="W105">
        <v>0.0117049534553048</v>
      </c>
      <c r="X105">
        <v>26.484375</v>
      </c>
      <c r="Y105">
        <v>60</v>
      </c>
      <c r="Z105">
        <v>0.3</v>
      </c>
      <c r="AA105">
        <v>117.3301700565148</v>
      </c>
      <c r="AB105">
        <v>26.4375</v>
      </c>
      <c r="AC105">
        <v>69.62783992176188</v>
      </c>
      <c r="AD105">
        <v>186.9580099782767</v>
      </c>
      <c r="AE105">
        <v>0.145361230001456</v>
      </c>
      <c r="AF105">
        <v>30.41707273961621</v>
      </c>
      <c r="AG105">
        <v>-2.99901770084432E-12</v>
      </c>
      <c r="AH105">
        <v>1.602866736968596E-14</v>
      </c>
      <c r="AI105" t="b">
        <v>0</v>
      </c>
      <c r="AJ105" t="b">
        <v>0</v>
      </c>
      <c r="AK105" t="b">
        <v>0</v>
      </c>
      <c r="AL105">
        <v>1.03692029195372</v>
      </c>
      <c r="AM105" t="b">
        <v>0</v>
      </c>
    </row>
    <row r="106" spans="1:39">
      <c r="A106" t="s">
        <v>145</v>
      </c>
      <c r="B106">
        <v>50</v>
      </c>
      <c r="C106" t="s">
        <v>141</v>
      </c>
      <c r="D106">
        <v>1.875</v>
      </c>
      <c r="E106">
        <v>30</v>
      </c>
      <c r="F106">
        <v>98</v>
      </c>
      <c r="G106">
        <v>10</v>
      </c>
      <c r="H106">
        <v>0.62</v>
      </c>
      <c r="I106">
        <v>50</v>
      </c>
      <c r="J106">
        <v>177.1033712082752</v>
      </c>
      <c r="K106">
        <v>9.999999999999998</v>
      </c>
      <c r="L106">
        <v>187.1033712082752</v>
      </c>
      <c r="M106">
        <v>0</v>
      </c>
      <c r="N106">
        <v>0</v>
      </c>
      <c r="O106">
        <v>1.834375</v>
      </c>
      <c r="P106">
        <v>0.0731913624882804</v>
      </c>
      <c r="Q106">
        <v>26.234375</v>
      </c>
      <c r="R106" t="s">
        <v>121</v>
      </c>
      <c r="S106">
        <v>0.3</v>
      </c>
      <c r="T106">
        <v>60</v>
      </c>
      <c r="U106">
        <v>60</v>
      </c>
      <c r="V106">
        <v>0.07313913135559461</v>
      </c>
      <c r="W106">
        <v>0.07136242708177799</v>
      </c>
      <c r="X106">
        <v>26.859375</v>
      </c>
      <c r="Y106">
        <v>60</v>
      </c>
      <c r="Z106">
        <v>0.3</v>
      </c>
      <c r="AA106">
        <v>107.1500779557954</v>
      </c>
      <c r="AB106">
        <v>26.8125</v>
      </c>
      <c r="AC106">
        <v>79.70728232835349</v>
      </c>
      <c r="AD106">
        <v>186.8573602841489</v>
      </c>
      <c r="AE106">
        <v>0.2460109241442888</v>
      </c>
      <c r="AF106">
        <v>18.6249278676101</v>
      </c>
      <c r="AG106">
        <v>-1.799330129337307E-11</v>
      </c>
      <c r="AH106">
        <v>9.616770225558213E-14</v>
      </c>
      <c r="AI106" t="b">
        <v>0</v>
      </c>
      <c r="AJ106" t="b">
        <v>0</v>
      </c>
      <c r="AK106" t="b">
        <v>1</v>
      </c>
      <c r="AL106">
        <v>0.3509305829647928</v>
      </c>
      <c r="AM106" t="b">
        <v>0</v>
      </c>
    </row>
    <row r="107" spans="1:39">
      <c r="A107" t="s">
        <v>145</v>
      </c>
      <c r="B107">
        <v>50</v>
      </c>
      <c r="C107" t="s">
        <v>141</v>
      </c>
      <c r="D107">
        <v>1.875</v>
      </c>
      <c r="E107">
        <v>30</v>
      </c>
      <c r="F107">
        <v>98</v>
      </c>
      <c r="G107">
        <v>10</v>
      </c>
      <c r="H107">
        <v>0.62</v>
      </c>
      <c r="I107">
        <v>50</v>
      </c>
      <c r="J107">
        <v>177.1033712082752</v>
      </c>
      <c r="K107">
        <v>9.999999999999998</v>
      </c>
      <c r="L107">
        <v>187.1033712082752</v>
      </c>
      <c r="M107">
        <v>0</v>
      </c>
      <c r="N107">
        <v>0</v>
      </c>
      <c r="O107">
        <v>1.834375</v>
      </c>
      <c r="P107">
        <v>0.0731913624882804</v>
      </c>
      <c r="Q107">
        <v>26.234375</v>
      </c>
      <c r="R107" t="s">
        <v>122</v>
      </c>
      <c r="S107">
        <v>0.3</v>
      </c>
      <c r="T107">
        <v>60</v>
      </c>
      <c r="U107">
        <v>80</v>
      </c>
      <c r="V107">
        <v>0.0730272925152121</v>
      </c>
      <c r="W107">
        <v>0.2241657587595757</v>
      </c>
      <c r="X107">
        <v>27.359375</v>
      </c>
      <c r="Y107">
        <v>60</v>
      </c>
      <c r="Z107">
        <v>0.3</v>
      </c>
      <c r="AA107">
        <v>94.42022828813812</v>
      </c>
      <c r="AB107">
        <v>27.3125</v>
      </c>
      <c r="AC107">
        <v>92.54990467370584</v>
      </c>
      <c r="AD107">
        <v>186.9701329618439</v>
      </c>
      <c r="AE107">
        <v>0.1332382464730753</v>
      </c>
      <c r="AF107">
        <v>13.45573271758028</v>
      </c>
      <c r="AG107">
        <v>-4.181374690936934E-11</v>
      </c>
      <c r="AH107">
        <v>2.234793881015866E-13</v>
      </c>
      <c r="AI107" t="b">
        <v>0</v>
      </c>
      <c r="AJ107" t="b">
        <v>0</v>
      </c>
      <c r="AK107" t="b">
        <v>1</v>
      </c>
      <c r="AL107">
        <v>0.3633097920101136</v>
      </c>
      <c r="AM107" t="b">
        <v>0</v>
      </c>
    </row>
    <row r="108" spans="1:39">
      <c r="A108" t="s">
        <v>145</v>
      </c>
      <c r="B108">
        <v>50</v>
      </c>
      <c r="C108" t="s">
        <v>141</v>
      </c>
      <c r="D108">
        <v>1.875</v>
      </c>
      <c r="E108">
        <v>30</v>
      </c>
      <c r="F108">
        <v>98</v>
      </c>
      <c r="G108">
        <v>10</v>
      </c>
      <c r="H108">
        <v>0.62</v>
      </c>
      <c r="I108">
        <v>50</v>
      </c>
      <c r="J108">
        <v>177.1033712082752</v>
      </c>
      <c r="K108">
        <v>9.999999999999998</v>
      </c>
      <c r="L108">
        <v>187.1033712082752</v>
      </c>
      <c r="M108">
        <v>0</v>
      </c>
      <c r="N108">
        <v>0</v>
      </c>
      <c r="O108">
        <v>1.834375</v>
      </c>
      <c r="P108">
        <v>0.0731913624882804</v>
      </c>
      <c r="Q108">
        <v>26.234375</v>
      </c>
      <c r="R108" t="s">
        <v>123</v>
      </c>
      <c r="S108">
        <v>0.3</v>
      </c>
      <c r="T108">
        <v>60</v>
      </c>
      <c r="U108">
        <v>100</v>
      </c>
      <c r="V108">
        <v>0.07279887851354939</v>
      </c>
      <c r="W108">
        <v>0.5362435694428958</v>
      </c>
      <c r="X108">
        <v>28.015625</v>
      </c>
      <c r="Y108">
        <v>60</v>
      </c>
      <c r="Z108">
        <v>0.3</v>
      </c>
      <c r="AA108">
        <v>79.74670316252954</v>
      </c>
      <c r="AB108">
        <v>27.96875</v>
      </c>
      <c r="AC108">
        <v>107.27212339204</v>
      </c>
      <c r="AD108">
        <v>187.0188265545696</v>
      </c>
      <c r="AE108">
        <v>0.0845446537138721</v>
      </c>
      <c r="AF108">
        <v>10.55877474925891</v>
      </c>
      <c r="AG108">
        <v>-8.280043317654417E-12</v>
      </c>
      <c r="AH108">
        <v>4.425384355281039E-14</v>
      </c>
      <c r="AI108" t="b">
        <v>0</v>
      </c>
      <c r="AJ108" t="b">
        <v>0</v>
      </c>
      <c r="AK108" t="b">
        <v>1</v>
      </c>
      <c r="AL108">
        <v>0.3508284159470349</v>
      </c>
      <c r="AM108" t="b">
        <v>0</v>
      </c>
    </row>
    <row r="109" spans="1:39">
      <c r="A109" t="s">
        <v>145</v>
      </c>
      <c r="B109">
        <v>50</v>
      </c>
      <c r="C109" t="s">
        <v>141</v>
      </c>
      <c r="D109">
        <v>1.875</v>
      </c>
      <c r="E109">
        <v>30</v>
      </c>
      <c r="F109">
        <v>98</v>
      </c>
      <c r="G109">
        <v>10</v>
      </c>
      <c r="H109">
        <v>0.62</v>
      </c>
      <c r="I109">
        <v>50</v>
      </c>
      <c r="J109">
        <v>177.1033712082752</v>
      </c>
      <c r="K109">
        <v>9.999999999999998</v>
      </c>
      <c r="L109">
        <v>187.1033712082752</v>
      </c>
      <c r="M109">
        <v>0</v>
      </c>
      <c r="N109">
        <v>0</v>
      </c>
      <c r="O109">
        <v>1.834375</v>
      </c>
      <c r="P109">
        <v>0.0731913624882804</v>
      </c>
      <c r="Q109">
        <v>26.234375</v>
      </c>
      <c r="R109" t="s">
        <v>124</v>
      </c>
      <c r="S109">
        <v>0.45</v>
      </c>
      <c r="T109">
        <v>90</v>
      </c>
      <c r="U109">
        <v>40</v>
      </c>
      <c r="V109">
        <v>0.06792964034336819</v>
      </c>
      <c r="W109">
        <v>7.188993299250013</v>
      </c>
      <c r="X109">
        <v>33.765625</v>
      </c>
      <c r="Y109">
        <v>90</v>
      </c>
      <c r="Z109">
        <v>0.45</v>
      </c>
      <c r="AA109">
        <v>85.66495331267988</v>
      </c>
      <c r="AB109">
        <v>33.71875</v>
      </c>
      <c r="AC109">
        <v>100.5758342650758</v>
      </c>
      <c r="AD109">
        <v>186.2407875777557</v>
      </c>
      <c r="AE109">
        <v>0.8625836305171646</v>
      </c>
      <c r="AF109">
        <v>28.51457073093693</v>
      </c>
      <c r="AG109">
        <v>2.344791028008331E-12</v>
      </c>
      <c r="AH109">
        <v>1.253206189106135E-14</v>
      </c>
      <c r="AI109" t="b">
        <v>0</v>
      </c>
      <c r="AJ109" t="b">
        <v>0</v>
      </c>
      <c r="AK109" t="b">
        <v>0</v>
      </c>
      <c r="AL109">
        <v>0.3431651669088751</v>
      </c>
      <c r="AM109" t="b">
        <v>0</v>
      </c>
    </row>
    <row r="110" spans="1:39">
      <c r="A110" t="s">
        <v>145</v>
      </c>
      <c r="B110">
        <v>50</v>
      </c>
      <c r="C110" t="s">
        <v>141</v>
      </c>
      <c r="D110">
        <v>1.875</v>
      </c>
      <c r="E110">
        <v>30</v>
      </c>
      <c r="F110">
        <v>98</v>
      </c>
      <c r="G110">
        <v>10</v>
      </c>
      <c r="H110">
        <v>0.62</v>
      </c>
      <c r="I110">
        <v>50</v>
      </c>
      <c r="J110">
        <v>177.1033712082752</v>
      </c>
      <c r="K110">
        <v>9.999999999999998</v>
      </c>
      <c r="L110">
        <v>187.1033712082752</v>
      </c>
      <c r="M110">
        <v>0</v>
      </c>
      <c r="N110">
        <v>0</v>
      </c>
      <c r="O110">
        <v>1.834375</v>
      </c>
      <c r="P110">
        <v>0.0731913624882804</v>
      </c>
      <c r="Q110">
        <v>26.234375</v>
      </c>
      <c r="R110" t="s">
        <v>125</v>
      </c>
      <c r="S110">
        <v>0.45</v>
      </c>
      <c r="T110">
        <v>90</v>
      </c>
      <c r="U110">
        <v>60</v>
      </c>
      <c r="V110">
        <v>0.0671330562993489</v>
      </c>
      <c r="W110">
        <v>8.277351292512968</v>
      </c>
      <c r="X110">
        <v>34.578125</v>
      </c>
      <c r="Y110">
        <v>90</v>
      </c>
      <c r="Z110">
        <v>0.45</v>
      </c>
      <c r="AA110">
        <v>73.75311878087172</v>
      </c>
      <c r="AB110">
        <v>34.53125</v>
      </c>
      <c r="AC110">
        <v>113.0780538687537</v>
      </c>
      <c r="AD110">
        <v>186.8311726496254</v>
      </c>
      <c r="AE110">
        <v>0.2721985586793142</v>
      </c>
      <c r="AF110">
        <v>16.65811033318968</v>
      </c>
      <c r="AG110">
        <v>-2.958028266775159E-11</v>
      </c>
      <c r="AH110">
        <v>1.580959363624941E-13</v>
      </c>
      <c r="AI110" t="b">
        <v>0</v>
      </c>
      <c r="AJ110" t="b">
        <v>0</v>
      </c>
      <c r="AK110" t="b">
        <v>1</v>
      </c>
      <c r="AL110">
        <v>0.3494263330940157</v>
      </c>
      <c r="AM110" t="b">
        <v>0</v>
      </c>
    </row>
    <row r="111" spans="1:39">
      <c r="A111" t="s">
        <v>145</v>
      </c>
      <c r="B111">
        <v>50</v>
      </c>
      <c r="C111" t="s">
        <v>141</v>
      </c>
      <c r="D111">
        <v>1.875</v>
      </c>
      <c r="E111">
        <v>30</v>
      </c>
      <c r="F111">
        <v>98</v>
      </c>
      <c r="G111">
        <v>10</v>
      </c>
      <c r="H111">
        <v>0.62</v>
      </c>
      <c r="I111">
        <v>50</v>
      </c>
      <c r="J111">
        <v>177.1033712082752</v>
      </c>
      <c r="K111">
        <v>9.999999999999998</v>
      </c>
      <c r="L111">
        <v>187.1033712082752</v>
      </c>
      <c r="M111">
        <v>0</v>
      </c>
      <c r="N111">
        <v>0</v>
      </c>
      <c r="O111">
        <v>1.834375</v>
      </c>
      <c r="P111">
        <v>0.0731913624882804</v>
      </c>
      <c r="Q111">
        <v>26.234375</v>
      </c>
      <c r="R111" t="s">
        <v>126</v>
      </c>
      <c r="S111">
        <v>0.45</v>
      </c>
      <c r="T111">
        <v>90</v>
      </c>
      <c r="U111">
        <v>80</v>
      </c>
      <c r="V111">
        <v>0.0658734009601403</v>
      </c>
      <c r="W111">
        <v>9.998395000929127</v>
      </c>
      <c r="X111">
        <v>35.734375</v>
      </c>
      <c r="Y111">
        <v>90</v>
      </c>
      <c r="Z111">
        <v>0.45</v>
      </c>
      <c r="AA111">
        <v>58.87583490198595</v>
      </c>
      <c r="AB111">
        <v>35.6875</v>
      </c>
      <c r="AC111">
        <v>128.0867216769782</v>
      </c>
      <c r="AD111">
        <v>186.9625565789641</v>
      </c>
      <c r="AE111">
        <v>0.1408146294311661</v>
      </c>
      <c r="AF111">
        <v>11.71534879069429</v>
      </c>
      <c r="AG111">
        <v>-1.20085830168648E-10</v>
      </c>
      <c r="AH111">
        <v>6.418154274461139E-13</v>
      </c>
      <c r="AI111" t="b">
        <v>0</v>
      </c>
      <c r="AJ111" t="b">
        <v>0</v>
      </c>
      <c r="AK111" t="b">
        <v>1</v>
      </c>
      <c r="AL111">
        <v>0.3559537919936701</v>
      </c>
      <c r="AM111" t="b">
        <v>0</v>
      </c>
    </row>
    <row r="112" spans="1:39">
      <c r="A112" t="s">
        <v>145</v>
      </c>
      <c r="B112">
        <v>50</v>
      </c>
      <c r="C112" t="s">
        <v>141</v>
      </c>
      <c r="D112">
        <v>1.875</v>
      </c>
      <c r="E112">
        <v>30</v>
      </c>
      <c r="F112">
        <v>98</v>
      </c>
      <c r="G112">
        <v>10</v>
      </c>
      <c r="H112">
        <v>0.62</v>
      </c>
      <c r="I112">
        <v>50</v>
      </c>
      <c r="J112">
        <v>177.1033712082752</v>
      </c>
      <c r="K112">
        <v>9.999999999999998</v>
      </c>
      <c r="L112">
        <v>187.1033712082752</v>
      </c>
      <c r="M112">
        <v>0</v>
      </c>
      <c r="N112">
        <v>0</v>
      </c>
      <c r="O112">
        <v>1.834375</v>
      </c>
      <c r="P112">
        <v>0.0731913624882804</v>
      </c>
      <c r="Q112">
        <v>26.234375</v>
      </c>
      <c r="R112" t="s">
        <v>127</v>
      </c>
      <c r="S112">
        <v>0.45</v>
      </c>
      <c r="T112">
        <v>90</v>
      </c>
      <c r="U112">
        <v>100</v>
      </c>
      <c r="V112">
        <v>0.06377962431380781</v>
      </c>
      <c r="W112">
        <v>12.85908316842661</v>
      </c>
      <c r="X112">
        <v>37.421875</v>
      </c>
      <c r="Y112">
        <v>90</v>
      </c>
      <c r="Z112">
        <v>0.45</v>
      </c>
      <c r="AA112">
        <v>41.92172771470218</v>
      </c>
      <c r="AB112">
        <v>37.375</v>
      </c>
      <c r="AC112">
        <v>145.0941027496533</v>
      </c>
      <c r="AD112">
        <v>187.0158304643555</v>
      </c>
      <c r="AE112">
        <v>0.08754074418409249</v>
      </c>
      <c r="AF112">
        <v>9.034635357807636</v>
      </c>
      <c r="AG112">
        <v>-2.644175850496921E-10</v>
      </c>
      <c r="AH112">
        <v>1.413216572967861E-12</v>
      </c>
      <c r="AI112" t="b">
        <v>0</v>
      </c>
      <c r="AJ112" t="b">
        <v>0</v>
      </c>
      <c r="AK112" t="b">
        <v>1</v>
      </c>
      <c r="AL112">
        <v>0.3591153341112658</v>
      </c>
      <c r="AM112" t="b">
        <v>0</v>
      </c>
    </row>
    <row r="113" spans="1:39">
      <c r="A113" t="s">
        <v>145</v>
      </c>
      <c r="B113">
        <v>50</v>
      </c>
      <c r="C113" t="s">
        <v>141</v>
      </c>
      <c r="D113">
        <v>1.875</v>
      </c>
      <c r="E113">
        <v>30</v>
      </c>
      <c r="F113">
        <v>98</v>
      </c>
      <c r="G113">
        <v>10</v>
      </c>
      <c r="H113">
        <v>0.62</v>
      </c>
      <c r="I113">
        <v>50</v>
      </c>
      <c r="J113">
        <v>177.1033712082752</v>
      </c>
      <c r="K113">
        <v>9.999999999999998</v>
      </c>
      <c r="L113">
        <v>187.1033712082752</v>
      </c>
      <c r="M113">
        <v>0</v>
      </c>
      <c r="N113">
        <v>0</v>
      </c>
      <c r="O113">
        <v>1.834375</v>
      </c>
      <c r="P113">
        <v>0.0731913624882804</v>
      </c>
      <c r="Q113">
        <v>26.234375</v>
      </c>
      <c r="R113" t="s">
        <v>128</v>
      </c>
      <c r="S113">
        <v>0.6</v>
      </c>
      <c r="T113">
        <v>120</v>
      </c>
      <c r="U113">
        <v>40</v>
      </c>
      <c r="V113">
        <v>0.0565625471325878</v>
      </c>
      <c r="W113">
        <v>22.71964175875986</v>
      </c>
      <c r="X113">
        <v>42.171875</v>
      </c>
      <c r="Y113">
        <v>120</v>
      </c>
      <c r="Z113">
        <v>0.6</v>
      </c>
      <c r="AA113">
        <v>54.52106524410335</v>
      </c>
      <c r="AB113">
        <v>42.125</v>
      </c>
      <c r="AC113">
        <v>131.4804401897944</v>
      </c>
      <c r="AD113">
        <v>186.0015054338978</v>
      </c>
      <c r="AE113">
        <v>1.101865774385023</v>
      </c>
      <c r="AF113">
        <v>28.14618663237648</v>
      </c>
      <c r="AG113">
        <v>-7.579048499906094E-12</v>
      </c>
      <c r="AH113">
        <v>4.050727921662851E-14</v>
      </c>
      <c r="AI113" t="b">
        <v>0</v>
      </c>
      <c r="AJ113" t="b">
        <v>0</v>
      </c>
      <c r="AK113" t="b">
        <v>0</v>
      </c>
      <c r="AL113">
        <v>0.3499619999201968</v>
      </c>
      <c r="AM113" t="b">
        <v>0</v>
      </c>
    </row>
    <row r="114" spans="1:39">
      <c r="A114" t="s">
        <v>145</v>
      </c>
      <c r="B114">
        <v>50</v>
      </c>
      <c r="C114" t="s">
        <v>141</v>
      </c>
      <c r="D114">
        <v>1.875</v>
      </c>
      <c r="E114">
        <v>30</v>
      </c>
      <c r="F114">
        <v>98</v>
      </c>
      <c r="G114">
        <v>10</v>
      </c>
      <c r="H114">
        <v>0.62</v>
      </c>
      <c r="I114">
        <v>50</v>
      </c>
      <c r="J114">
        <v>177.1033712082752</v>
      </c>
      <c r="K114">
        <v>9.999999999999998</v>
      </c>
      <c r="L114">
        <v>187.1033712082752</v>
      </c>
      <c r="M114">
        <v>0</v>
      </c>
      <c r="N114">
        <v>0</v>
      </c>
      <c r="O114">
        <v>1.834375</v>
      </c>
      <c r="P114">
        <v>0.0731913624882804</v>
      </c>
      <c r="Q114">
        <v>26.234375</v>
      </c>
      <c r="R114" t="s">
        <v>129</v>
      </c>
      <c r="S114">
        <v>0.6</v>
      </c>
      <c r="T114">
        <v>120</v>
      </c>
      <c r="U114">
        <v>60</v>
      </c>
      <c r="V114">
        <v>0.0543858784635479</v>
      </c>
      <c r="W114">
        <v>25.69358375825244</v>
      </c>
      <c r="X114">
        <v>43.796875</v>
      </c>
      <c r="Y114">
        <v>120</v>
      </c>
      <c r="Z114">
        <v>0.6</v>
      </c>
      <c r="AA114">
        <v>41.52857915115217</v>
      </c>
      <c r="AB114">
        <v>43.75</v>
      </c>
      <c r="AC114">
        <v>145.2774089652706</v>
      </c>
      <c r="AD114">
        <v>186.8059881164227</v>
      </c>
      <c r="AE114">
        <v>0.2973830918947068</v>
      </c>
      <c r="AF114">
        <v>15.82442748016035</v>
      </c>
      <c r="AG114">
        <v>-4.225414462766253E-11</v>
      </c>
      <c r="AH114">
        <v>2.258331549816229E-13</v>
      </c>
      <c r="AI114" t="b">
        <v>0</v>
      </c>
      <c r="AJ114" t="b">
        <v>0</v>
      </c>
      <c r="AK114" t="b">
        <v>1</v>
      </c>
      <c r="AL114">
        <v>0.3511583330109715</v>
      </c>
      <c r="AM114" t="b">
        <v>0</v>
      </c>
    </row>
    <row r="115" spans="1:39">
      <c r="A115" t="s">
        <v>145</v>
      </c>
      <c r="B115">
        <v>50</v>
      </c>
      <c r="C115" t="s">
        <v>141</v>
      </c>
      <c r="D115">
        <v>1.875</v>
      </c>
      <c r="E115">
        <v>30</v>
      </c>
      <c r="F115">
        <v>98</v>
      </c>
      <c r="G115">
        <v>10</v>
      </c>
      <c r="H115">
        <v>0.62</v>
      </c>
      <c r="I115">
        <v>50</v>
      </c>
      <c r="J115">
        <v>177.1033712082752</v>
      </c>
      <c r="K115">
        <v>9.999999999999998</v>
      </c>
      <c r="L115">
        <v>187.1033712082752</v>
      </c>
      <c r="M115">
        <v>0</v>
      </c>
      <c r="N115">
        <v>0</v>
      </c>
      <c r="O115">
        <v>1.834375</v>
      </c>
      <c r="P115">
        <v>0.0731913624882804</v>
      </c>
      <c r="Q115">
        <v>26.234375</v>
      </c>
      <c r="R115" t="s">
        <v>130</v>
      </c>
      <c r="S115">
        <v>0.6</v>
      </c>
      <c r="T115">
        <v>120</v>
      </c>
      <c r="U115">
        <v>80</v>
      </c>
      <c r="V115">
        <v>0.0503544832673621</v>
      </c>
      <c r="W115">
        <v>31.20160418461268</v>
      </c>
      <c r="X115">
        <v>46.609375</v>
      </c>
      <c r="Y115">
        <v>120</v>
      </c>
      <c r="Z115">
        <v>0.6</v>
      </c>
      <c r="AA115">
        <v>25.51823880922458</v>
      </c>
      <c r="AB115">
        <v>46.5625</v>
      </c>
      <c r="AC115">
        <v>161.4375141804199</v>
      </c>
      <c r="AD115">
        <v>186.9557529896445</v>
      </c>
      <c r="AE115">
        <v>0.1476182188068277</v>
      </c>
      <c r="AF115">
        <v>10.86664285425655</v>
      </c>
      <c r="AG115">
        <v>-1.76130610096692E-10</v>
      </c>
      <c r="AH115">
        <v>9.413545515469689E-13</v>
      </c>
      <c r="AI115" t="b">
        <v>0</v>
      </c>
      <c r="AJ115" t="b">
        <v>0</v>
      </c>
      <c r="AK115" t="b">
        <v>1</v>
      </c>
      <c r="AL115">
        <v>0.3513490830082446</v>
      </c>
      <c r="AM115" t="b">
        <v>0</v>
      </c>
    </row>
    <row r="116" spans="1:39">
      <c r="A116" t="s">
        <v>145</v>
      </c>
      <c r="B116">
        <v>50</v>
      </c>
      <c r="C116" t="s">
        <v>141</v>
      </c>
      <c r="D116">
        <v>1.875</v>
      </c>
      <c r="E116">
        <v>30</v>
      </c>
      <c r="F116">
        <v>98</v>
      </c>
      <c r="G116">
        <v>10</v>
      </c>
      <c r="H116">
        <v>0.62</v>
      </c>
      <c r="I116">
        <v>50</v>
      </c>
      <c r="J116">
        <v>177.1033712082752</v>
      </c>
      <c r="K116">
        <v>9.999999999999998</v>
      </c>
      <c r="L116">
        <v>187.1033712082752</v>
      </c>
      <c r="M116">
        <v>0</v>
      </c>
      <c r="N116">
        <v>0</v>
      </c>
      <c r="O116">
        <v>1.834375</v>
      </c>
      <c r="P116">
        <v>0.0731913624882804</v>
      </c>
      <c r="Q116">
        <v>26.234375</v>
      </c>
      <c r="R116" t="s">
        <v>131</v>
      </c>
      <c r="S116">
        <v>0.6</v>
      </c>
      <c r="T116">
        <v>120</v>
      </c>
      <c r="U116">
        <v>100</v>
      </c>
      <c r="V116">
        <v>0.0407607823961067</v>
      </c>
      <c r="W116">
        <v>44.30929960808771</v>
      </c>
      <c r="X116">
        <v>52.328125</v>
      </c>
      <c r="Y116">
        <v>120</v>
      </c>
      <c r="Z116">
        <v>0.6</v>
      </c>
      <c r="AA116">
        <v>7.902881325826714</v>
      </c>
      <c r="AB116">
        <v>52.28125</v>
      </c>
      <c r="AC116">
        <v>179.1103455939289</v>
      </c>
      <c r="AD116">
        <v>187.0132269197556</v>
      </c>
      <c r="AE116">
        <v>0.09014428901593149</v>
      </c>
      <c r="AF116">
        <v>8.244313459339056</v>
      </c>
      <c r="AG116">
        <v>-4.963210814556972E-10</v>
      </c>
      <c r="AH116">
        <v>2.652657075340533E-12</v>
      </c>
      <c r="AI116" t="b">
        <v>0</v>
      </c>
      <c r="AJ116" t="b">
        <v>0</v>
      </c>
      <c r="AK116" t="b">
        <v>1</v>
      </c>
      <c r="AL116">
        <v>0.3730447499547153</v>
      </c>
      <c r="AM116" t="b">
        <v>0</v>
      </c>
    </row>
    <row r="117" spans="1:39">
      <c r="A117" t="s">
        <v>145</v>
      </c>
      <c r="B117">
        <v>50</v>
      </c>
      <c r="C117" t="s">
        <v>141</v>
      </c>
      <c r="D117">
        <v>1.875</v>
      </c>
      <c r="E117">
        <v>30</v>
      </c>
      <c r="F117">
        <v>98</v>
      </c>
      <c r="G117">
        <v>10</v>
      </c>
      <c r="H117">
        <v>0.62</v>
      </c>
      <c r="I117">
        <v>50</v>
      </c>
      <c r="J117">
        <v>177.1033712082752</v>
      </c>
      <c r="K117">
        <v>9.999999999999998</v>
      </c>
      <c r="L117">
        <v>187.1033712082752</v>
      </c>
      <c r="M117">
        <v>0</v>
      </c>
      <c r="N117">
        <v>0</v>
      </c>
      <c r="O117">
        <v>1.834375</v>
      </c>
      <c r="P117">
        <v>0.0731913624882804</v>
      </c>
      <c r="Q117">
        <v>26.234375</v>
      </c>
      <c r="R117" t="s">
        <v>132</v>
      </c>
      <c r="S117">
        <v>0.75</v>
      </c>
      <c r="T117">
        <v>150</v>
      </c>
      <c r="U117">
        <v>40</v>
      </c>
      <c r="V117">
        <v>0.0392938554612404</v>
      </c>
      <c r="W117">
        <v>46.3135346503049</v>
      </c>
      <c r="X117">
        <v>53.328125</v>
      </c>
      <c r="Y117">
        <v>150</v>
      </c>
      <c r="Z117">
        <v>0.75</v>
      </c>
      <c r="AA117">
        <v>23.77102431405488</v>
      </c>
      <c r="AB117">
        <v>53.28125</v>
      </c>
      <c r="AC117">
        <v>161.9277915562049</v>
      </c>
      <c r="AD117">
        <v>185.6988158702597</v>
      </c>
      <c r="AE117">
        <v>1.404555338021514</v>
      </c>
      <c r="AF117">
        <v>28.41440659364144</v>
      </c>
      <c r="AG117">
        <v>-6.086686710204958E-12</v>
      </c>
      <c r="AH117">
        <v>3.253114399221342E-14</v>
      </c>
      <c r="AI117" t="b">
        <v>0</v>
      </c>
      <c r="AJ117" t="b">
        <v>0</v>
      </c>
      <c r="AK117" t="b">
        <v>0</v>
      </c>
      <c r="AL117">
        <v>0.3504607909126207</v>
      </c>
      <c r="AM117" t="b">
        <v>0</v>
      </c>
    </row>
    <row r="118" spans="1:39">
      <c r="A118" t="s">
        <v>145</v>
      </c>
      <c r="B118">
        <v>50</v>
      </c>
      <c r="C118" t="s">
        <v>141</v>
      </c>
      <c r="D118">
        <v>1.875</v>
      </c>
      <c r="E118">
        <v>30</v>
      </c>
      <c r="F118">
        <v>98</v>
      </c>
      <c r="G118">
        <v>10</v>
      </c>
      <c r="H118">
        <v>0.62</v>
      </c>
      <c r="I118">
        <v>50</v>
      </c>
      <c r="J118">
        <v>177.1033712082752</v>
      </c>
      <c r="K118">
        <v>9.999999999999998</v>
      </c>
      <c r="L118">
        <v>187.1033712082752</v>
      </c>
      <c r="M118">
        <v>0</v>
      </c>
      <c r="N118">
        <v>0</v>
      </c>
      <c r="O118">
        <v>1.834375</v>
      </c>
      <c r="P118">
        <v>0.0731913624882804</v>
      </c>
      <c r="Q118">
        <v>26.234375</v>
      </c>
      <c r="R118" t="s">
        <v>133</v>
      </c>
      <c r="S118">
        <v>0.75</v>
      </c>
      <c r="T118">
        <v>150</v>
      </c>
      <c r="U118">
        <v>60</v>
      </c>
      <c r="V118">
        <v>0.0321623608469053</v>
      </c>
      <c r="W118">
        <v>56.05716336807467</v>
      </c>
      <c r="X118">
        <v>57.921875</v>
      </c>
      <c r="Y118">
        <v>150</v>
      </c>
      <c r="Z118">
        <v>0.75</v>
      </c>
      <c r="AA118">
        <v>10.2436115946428</v>
      </c>
      <c r="AB118">
        <v>57.875</v>
      </c>
      <c r="AC118">
        <v>176.537319419268</v>
      </c>
      <c r="AD118">
        <v>186.7809310139108</v>
      </c>
      <c r="AE118">
        <v>0.3224401944140698</v>
      </c>
      <c r="AF118">
        <v>15.48555419766065</v>
      </c>
      <c r="AG118">
        <v>-4.970845957075198E-11</v>
      </c>
      <c r="AH118">
        <v>2.656737783490749E-13</v>
      </c>
      <c r="AI118" t="b">
        <v>1</v>
      </c>
      <c r="AJ118" t="b">
        <v>0</v>
      </c>
      <c r="AK118" t="b">
        <v>1</v>
      </c>
      <c r="AL118">
        <v>0.3542845420306548</v>
      </c>
      <c r="AM118" t="b">
        <v>0</v>
      </c>
    </row>
    <row r="119" spans="1:39">
      <c r="A119" t="s">
        <v>145</v>
      </c>
      <c r="B119">
        <v>50</v>
      </c>
      <c r="C119" t="s">
        <v>141</v>
      </c>
      <c r="D119">
        <v>1.875</v>
      </c>
      <c r="E119">
        <v>30</v>
      </c>
      <c r="F119">
        <v>98</v>
      </c>
      <c r="G119">
        <v>10</v>
      </c>
      <c r="H119">
        <v>0.62</v>
      </c>
      <c r="I119">
        <v>50</v>
      </c>
      <c r="J119">
        <v>177.1033712082752</v>
      </c>
      <c r="K119">
        <v>9.999999999999998</v>
      </c>
      <c r="L119">
        <v>187.1033712082752</v>
      </c>
      <c r="M119">
        <v>0</v>
      </c>
      <c r="N119">
        <v>0</v>
      </c>
      <c r="O119">
        <v>1.834375</v>
      </c>
      <c r="P119">
        <v>0.0731913624882804</v>
      </c>
      <c r="Q119">
        <v>26.234375</v>
      </c>
      <c r="R119" t="s">
        <v>134</v>
      </c>
      <c r="S119">
        <v>0.75</v>
      </c>
      <c r="T119">
        <v>150</v>
      </c>
      <c r="U119">
        <v>80</v>
      </c>
      <c r="V119">
        <v>0.0145033472321613</v>
      </c>
      <c r="W119">
        <v>80.18434588578174</v>
      </c>
      <c r="X119">
        <v>68.640625</v>
      </c>
      <c r="Y119">
        <v>144.2690761842896</v>
      </c>
      <c r="Z119">
        <v>0.7213453809214481</v>
      </c>
      <c r="AA119">
        <v>0</v>
      </c>
      <c r="AC119">
        <v>186.950579136278</v>
      </c>
      <c r="AD119">
        <v>186.950579136278</v>
      </c>
      <c r="AE119">
        <v>0.1527920722119312</v>
      </c>
      <c r="AF119">
        <v>10.30937418805309</v>
      </c>
      <c r="AG119">
        <v>-2.147054201095955E-10</v>
      </c>
      <c r="AH119">
        <v>1.147522990756778E-12</v>
      </c>
      <c r="AI119" t="b">
        <v>1</v>
      </c>
      <c r="AJ119" t="b">
        <v>1</v>
      </c>
      <c r="AK119" t="b">
        <v>1</v>
      </c>
      <c r="AL119">
        <v>0.3614403340034187</v>
      </c>
      <c r="AM119" t="b">
        <v>1</v>
      </c>
    </row>
    <row r="120" spans="1:39">
      <c r="A120" t="s">
        <v>145</v>
      </c>
      <c r="B120">
        <v>50</v>
      </c>
      <c r="C120" t="s">
        <v>141</v>
      </c>
      <c r="D120">
        <v>1.875</v>
      </c>
      <c r="E120">
        <v>30</v>
      </c>
      <c r="F120">
        <v>98</v>
      </c>
      <c r="G120">
        <v>10</v>
      </c>
      <c r="H120">
        <v>0.62</v>
      </c>
      <c r="I120">
        <v>50</v>
      </c>
      <c r="J120">
        <v>177.1033712082752</v>
      </c>
      <c r="K120">
        <v>9.999999999999998</v>
      </c>
      <c r="L120">
        <v>187.1033712082752</v>
      </c>
      <c r="M120">
        <v>0</v>
      </c>
      <c r="N120">
        <v>0</v>
      </c>
      <c r="O120">
        <v>1.834375</v>
      </c>
      <c r="P120">
        <v>0.0731913624882804</v>
      </c>
      <c r="Q120">
        <v>26.234375</v>
      </c>
      <c r="R120" t="s">
        <v>135</v>
      </c>
      <c r="S120">
        <v>0.75</v>
      </c>
      <c r="T120">
        <v>150</v>
      </c>
      <c r="U120">
        <v>100</v>
      </c>
      <c r="V120">
        <v>0.021044243487933</v>
      </c>
      <c r="W120">
        <v>71.24764074271368</v>
      </c>
      <c r="X120">
        <v>64.578125</v>
      </c>
      <c r="Y120">
        <v>127.5506103021315</v>
      </c>
      <c r="Z120">
        <v>0.6377530515106576</v>
      </c>
      <c r="AA120">
        <v>0</v>
      </c>
      <c r="AC120">
        <v>187.0126126290505</v>
      </c>
      <c r="AD120">
        <v>187.0126126290505</v>
      </c>
      <c r="AE120">
        <v>0.0907585798217137</v>
      </c>
      <c r="AF120">
        <v>7.513859819999553</v>
      </c>
      <c r="AG120">
        <v>-5.970587080295076E-10</v>
      </c>
      <c r="AH120">
        <v>3.191063336666918E-12</v>
      </c>
      <c r="AI120" t="b">
        <v>1</v>
      </c>
      <c r="AJ120" t="b">
        <v>1</v>
      </c>
      <c r="AK120" t="b">
        <v>1</v>
      </c>
      <c r="AL120">
        <v>0.3633004169678315</v>
      </c>
      <c r="AM120" t="b">
        <v>1</v>
      </c>
    </row>
    <row r="121" spans="1:39">
      <c r="A121" t="s">
        <v>145</v>
      </c>
      <c r="B121">
        <v>50</v>
      </c>
      <c r="C121" t="s">
        <v>141</v>
      </c>
      <c r="D121">
        <v>1.875</v>
      </c>
      <c r="E121">
        <v>30</v>
      </c>
      <c r="F121">
        <v>98</v>
      </c>
      <c r="G121">
        <v>10</v>
      </c>
      <c r="H121">
        <v>0.62</v>
      </c>
      <c r="I121">
        <v>50</v>
      </c>
      <c r="J121">
        <v>177.1033712082752</v>
      </c>
      <c r="K121">
        <v>9.999999999999998</v>
      </c>
      <c r="L121">
        <v>187.1033712082752</v>
      </c>
      <c r="M121">
        <v>0</v>
      </c>
      <c r="N121">
        <v>0</v>
      </c>
      <c r="O121">
        <v>1.834375</v>
      </c>
      <c r="P121">
        <v>0.0731913624882804</v>
      </c>
      <c r="Q121">
        <v>26.234375</v>
      </c>
      <c r="R121" t="s">
        <v>136</v>
      </c>
      <c r="S121">
        <v>0.9</v>
      </c>
      <c r="T121">
        <v>180</v>
      </c>
      <c r="U121">
        <v>40</v>
      </c>
      <c r="V121">
        <v>0.0040440861469564</v>
      </c>
      <c r="W121">
        <v>94.47464016316948</v>
      </c>
      <c r="X121">
        <v>77.046875</v>
      </c>
      <c r="Y121">
        <v>173.4794082939803</v>
      </c>
      <c r="Z121">
        <v>0.8673970414699015</v>
      </c>
      <c r="AA121">
        <v>0</v>
      </c>
      <c r="AC121">
        <v>185.3998608850708</v>
      </c>
      <c r="AD121">
        <v>185.3998608850708</v>
      </c>
      <c r="AE121">
        <v>1.703510323206692</v>
      </c>
      <c r="AF121">
        <v>28.55320906674821</v>
      </c>
      <c r="AG121">
        <v>-2.294386902690349E-12</v>
      </c>
      <c r="AH121">
        <v>1.226267003033494E-14</v>
      </c>
      <c r="AI121" t="b">
        <v>1</v>
      </c>
      <c r="AJ121" t="b">
        <v>1</v>
      </c>
      <c r="AK121" t="b">
        <v>0</v>
      </c>
      <c r="AL121">
        <v>0.3548411659430712</v>
      </c>
      <c r="AM121" t="b">
        <v>0</v>
      </c>
    </row>
    <row r="122" spans="1:39">
      <c r="A122" t="s">
        <v>145</v>
      </c>
      <c r="B122">
        <v>50</v>
      </c>
      <c r="C122" t="s">
        <v>141</v>
      </c>
      <c r="D122">
        <v>1.875</v>
      </c>
      <c r="E122">
        <v>30</v>
      </c>
      <c r="F122">
        <v>98</v>
      </c>
      <c r="G122">
        <v>10</v>
      </c>
      <c r="H122">
        <v>0.62</v>
      </c>
      <c r="I122">
        <v>50</v>
      </c>
      <c r="J122">
        <v>177.1033712082752</v>
      </c>
      <c r="K122">
        <v>9.999999999999998</v>
      </c>
      <c r="L122">
        <v>187.1033712082752</v>
      </c>
      <c r="M122">
        <v>0</v>
      </c>
      <c r="N122">
        <v>0</v>
      </c>
      <c r="O122">
        <v>1.834375</v>
      </c>
      <c r="P122">
        <v>0.0731913624882804</v>
      </c>
      <c r="Q122">
        <v>26.234375</v>
      </c>
      <c r="R122" t="s">
        <v>137</v>
      </c>
      <c r="S122">
        <v>0.9</v>
      </c>
      <c r="T122">
        <v>180</v>
      </c>
      <c r="U122">
        <v>60</v>
      </c>
      <c r="V122">
        <v>0.008675372623606001</v>
      </c>
      <c r="W122">
        <v>88.14699941540894</v>
      </c>
      <c r="X122">
        <v>72.453125</v>
      </c>
      <c r="Y122">
        <v>160.0714331995873</v>
      </c>
      <c r="Z122">
        <v>0.8003571659979363</v>
      </c>
      <c r="AA122">
        <v>0</v>
      </c>
      <c r="AC122">
        <v>186.7724605812392</v>
      </c>
      <c r="AD122">
        <v>186.7724605812392</v>
      </c>
      <c r="AE122">
        <v>0.3309106270885721</v>
      </c>
      <c r="AF122">
        <v>14.79224976908032</v>
      </c>
      <c r="AG122">
        <v>-5.261002744560983E-11</v>
      </c>
      <c r="AH122">
        <v>2.811816115651208E-13</v>
      </c>
      <c r="AI122" t="b">
        <v>1</v>
      </c>
      <c r="AJ122" t="b">
        <v>1</v>
      </c>
      <c r="AK122" t="b">
        <v>1</v>
      </c>
      <c r="AL122">
        <v>0.3685217500897124</v>
      </c>
      <c r="AM122" t="b">
        <v>1</v>
      </c>
    </row>
    <row r="123" spans="1:39">
      <c r="A123" t="s">
        <v>145</v>
      </c>
      <c r="B123">
        <v>50</v>
      </c>
      <c r="C123" t="s">
        <v>141</v>
      </c>
      <c r="D123">
        <v>1.875</v>
      </c>
      <c r="E123">
        <v>30</v>
      </c>
      <c r="F123">
        <v>98</v>
      </c>
      <c r="G123">
        <v>10</v>
      </c>
      <c r="H123">
        <v>0.62</v>
      </c>
      <c r="I123">
        <v>50</v>
      </c>
      <c r="J123">
        <v>177.1033712082752</v>
      </c>
      <c r="K123">
        <v>9.999999999999998</v>
      </c>
      <c r="L123">
        <v>187.1033712082752</v>
      </c>
      <c r="M123">
        <v>0</v>
      </c>
      <c r="N123">
        <v>0</v>
      </c>
      <c r="O123">
        <v>1.834375</v>
      </c>
      <c r="P123">
        <v>0.0731913624882804</v>
      </c>
      <c r="Q123">
        <v>26.234375</v>
      </c>
      <c r="R123" t="s">
        <v>138</v>
      </c>
      <c r="S123">
        <v>0.9</v>
      </c>
      <c r="T123">
        <v>180</v>
      </c>
      <c r="U123">
        <v>80</v>
      </c>
      <c r="V123">
        <v>0.0145033472321613</v>
      </c>
      <c r="W123">
        <v>80.18434588578174</v>
      </c>
      <c r="X123">
        <v>68.640625</v>
      </c>
      <c r="Y123">
        <v>144.2690761842896</v>
      </c>
      <c r="Z123">
        <v>0.7213453809214481</v>
      </c>
      <c r="AA123">
        <v>0</v>
      </c>
      <c r="AC123">
        <v>186.950579136278</v>
      </c>
      <c r="AD123">
        <v>186.950579136278</v>
      </c>
      <c r="AE123">
        <v>0.1527920722119312</v>
      </c>
      <c r="AF123">
        <v>9.5459521395388</v>
      </c>
      <c r="AG123">
        <v>-2.147054201095955E-10</v>
      </c>
      <c r="AH123">
        <v>1.147522990756778E-12</v>
      </c>
      <c r="AI123" t="b">
        <v>1</v>
      </c>
      <c r="AJ123" t="b">
        <v>1</v>
      </c>
      <c r="AK123" t="b">
        <v>1</v>
      </c>
      <c r="AL123">
        <v>0.4172453749924898</v>
      </c>
      <c r="AM123" t="b">
        <v>1</v>
      </c>
    </row>
    <row r="124" spans="1:39">
      <c r="A124" t="s">
        <v>145</v>
      </c>
      <c r="B124">
        <v>50</v>
      </c>
      <c r="C124" t="s">
        <v>141</v>
      </c>
      <c r="D124">
        <v>1.875</v>
      </c>
      <c r="E124">
        <v>30</v>
      </c>
      <c r="F124">
        <v>98</v>
      </c>
      <c r="G124">
        <v>10</v>
      </c>
      <c r="H124">
        <v>0.62</v>
      </c>
      <c r="I124">
        <v>50</v>
      </c>
      <c r="J124">
        <v>177.1033712082752</v>
      </c>
      <c r="K124">
        <v>9.999999999999998</v>
      </c>
      <c r="L124">
        <v>187.1033712082752</v>
      </c>
      <c r="M124">
        <v>0</v>
      </c>
      <c r="N124">
        <v>0</v>
      </c>
      <c r="O124">
        <v>1.834375</v>
      </c>
      <c r="P124">
        <v>0.0731913624882804</v>
      </c>
      <c r="Q124">
        <v>26.234375</v>
      </c>
      <c r="R124" t="s">
        <v>139</v>
      </c>
      <c r="S124">
        <v>0.9</v>
      </c>
      <c r="T124">
        <v>180</v>
      </c>
      <c r="U124">
        <v>100</v>
      </c>
      <c r="V124">
        <v>0.021044243487933</v>
      </c>
      <c r="W124">
        <v>71.24764074271368</v>
      </c>
      <c r="X124">
        <v>64.578125</v>
      </c>
      <c r="Y124">
        <v>127.5506103021315</v>
      </c>
      <c r="Z124">
        <v>0.6377530515106576</v>
      </c>
      <c r="AA124">
        <v>0</v>
      </c>
      <c r="AC124">
        <v>187.0126126290505</v>
      </c>
      <c r="AD124">
        <v>187.0126126290505</v>
      </c>
      <c r="AE124">
        <v>0.0907585798217137</v>
      </c>
      <c r="AF124">
        <v>6.903107919757449</v>
      </c>
      <c r="AG124">
        <v>-5.970587080295076E-10</v>
      </c>
      <c r="AH124">
        <v>3.191063336666918E-12</v>
      </c>
      <c r="AI124" t="b">
        <v>1</v>
      </c>
      <c r="AJ124" t="b">
        <v>1</v>
      </c>
      <c r="AK124" t="b">
        <v>1</v>
      </c>
      <c r="AL124">
        <v>0.3623050840105861</v>
      </c>
      <c r="AM124" t="b">
        <v>1</v>
      </c>
    </row>
    <row r="125" spans="1:39">
      <c r="A125" t="s">
        <v>146</v>
      </c>
      <c r="B125">
        <v>50</v>
      </c>
      <c r="C125" t="s">
        <v>143</v>
      </c>
      <c r="D125">
        <v>1.875</v>
      </c>
      <c r="E125">
        <v>60</v>
      </c>
      <c r="F125">
        <v>98</v>
      </c>
      <c r="G125">
        <v>10</v>
      </c>
      <c r="H125">
        <v>0.62</v>
      </c>
      <c r="I125">
        <v>50</v>
      </c>
      <c r="J125">
        <v>177.1033712082751</v>
      </c>
      <c r="K125">
        <v>10</v>
      </c>
      <c r="L125">
        <v>187.1033712082751</v>
      </c>
      <c r="M125">
        <v>0</v>
      </c>
      <c r="N125">
        <v>0</v>
      </c>
      <c r="O125">
        <v>1.834375</v>
      </c>
      <c r="P125">
        <v>0.0856739494173144</v>
      </c>
      <c r="Q125">
        <v>59.984375</v>
      </c>
      <c r="R125" t="s">
        <v>116</v>
      </c>
      <c r="S125">
        <v>0.15</v>
      </c>
      <c r="T125">
        <v>30</v>
      </c>
      <c r="U125">
        <v>40</v>
      </c>
      <c r="V125">
        <v>0.0856739494173136</v>
      </c>
      <c r="W125">
        <v>9.769962616701378E-13</v>
      </c>
      <c r="X125">
        <v>59.984375</v>
      </c>
      <c r="Y125">
        <v>30</v>
      </c>
      <c r="Z125">
        <v>0.15</v>
      </c>
      <c r="AA125">
        <v>150.5181509892304</v>
      </c>
      <c r="AB125">
        <v>37.5625</v>
      </c>
      <c r="AC125">
        <v>36.45885493985993</v>
      </c>
      <c r="AD125">
        <v>186.9770059290903</v>
      </c>
      <c r="AE125">
        <v>0.1263652791853938</v>
      </c>
      <c r="AF125">
        <v>37.81048249876897</v>
      </c>
      <c r="AG125">
        <v>-5.693778781790115E-13</v>
      </c>
      <c r="AH125">
        <v>3.043119290166105E-15</v>
      </c>
      <c r="AI125" t="b">
        <v>0</v>
      </c>
      <c r="AJ125" t="b">
        <v>0</v>
      </c>
      <c r="AK125" t="b">
        <v>0</v>
      </c>
      <c r="AL125">
        <v>1.041644250042736</v>
      </c>
      <c r="AM125" t="b">
        <v>0</v>
      </c>
    </row>
    <row r="126" spans="1:39">
      <c r="A126" t="s">
        <v>146</v>
      </c>
      <c r="B126">
        <v>50</v>
      </c>
      <c r="C126" t="s">
        <v>143</v>
      </c>
      <c r="D126">
        <v>1.875</v>
      </c>
      <c r="E126">
        <v>30</v>
      </c>
      <c r="F126">
        <v>98</v>
      </c>
      <c r="G126">
        <v>10</v>
      </c>
      <c r="H126">
        <v>0.62</v>
      </c>
      <c r="I126">
        <v>50</v>
      </c>
      <c r="J126">
        <v>177.1033712082751</v>
      </c>
      <c r="K126">
        <v>10</v>
      </c>
      <c r="L126">
        <v>187.1033712082751</v>
      </c>
      <c r="M126">
        <v>0</v>
      </c>
      <c r="N126">
        <v>0</v>
      </c>
      <c r="O126">
        <v>1.834375</v>
      </c>
      <c r="P126">
        <v>0.0856739494173144</v>
      </c>
      <c r="Q126">
        <v>59.984375</v>
      </c>
      <c r="R126" t="s">
        <v>117</v>
      </c>
      <c r="S126">
        <v>0.15</v>
      </c>
      <c r="T126">
        <v>30</v>
      </c>
      <c r="U126">
        <v>60</v>
      </c>
      <c r="V126">
        <v>0.0856739494173136</v>
      </c>
      <c r="W126">
        <v>9.769962616701378E-13</v>
      </c>
      <c r="X126">
        <v>59.984375</v>
      </c>
      <c r="Y126">
        <v>30</v>
      </c>
      <c r="Z126">
        <v>0.15</v>
      </c>
      <c r="AA126">
        <v>143.9655763804249</v>
      </c>
      <c r="AB126">
        <v>37.90625</v>
      </c>
      <c r="AC126">
        <v>42.91922371466868</v>
      </c>
      <c r="AD126">
        <v>186.8848000950936</v>
      </c>
      <c r="AE126">
        <v>0.2185711131804987</v>
      </c>
      <c r="AF126">
        <v>24.51862910791287</v>
      </c>
      <c r="AG126">
        <v>1.083411138580459E-12</v>
      </c>
      <c r="AH126">
        <v>5.790441570261467E-15</v>
      </c>
      <c r="AI126" t="b">
        <v>0</v>
      </c>
      <c r="AJ126" t="b">
        <v>0</v>
      </c>
      <c r="AK126" t="b">
        <v>0</v>
      </c>
      <c r="AL126">
        <v>0.3479896249482408</v>
      </c>
      <c r="AM126" t="b">
        <v>0</v>
      </c>
    </row>
    <row r="127" spans="1:39">
      <c r="A127" t="s">
        <v>146</v>
      </c>
      <c r="B127">
        <v>50</v>
      </c>
      <c r="C127" t="s">
        <v>143</v>
      </c>
      <c r="D127">
        <v>1.875</v>
      </c>
      <c r="E127">
        <v>30</v>
      </c>
      <c r="F127">
        <v>98</v>
      </c>
      <c r="G127">
        <v>10</v>
      </c>
      <c r="H127">
        <v>0.62</v>
      </c>
      <c r="I127">
        <v>50</v>
      </c>
      <c r="J127">
        <v>177.1033712082751</v>
      </c>
      <c r="K127">
        <v>10</v>
      </c>
      <c r="L127">
        <v>187.1033712082751</v>
      </c>
      <c r="M127">
        <v>0</v>
      </c>
      <c r="N127">
        <v>0</v>
      </c>
      <c r="O127">
        <v>1.834375</v>
      </c>
      <c r="P127">
        <v>0.0856739494173144</v>
      </c>
      <c r="Q127">
        <v>59.984375</v>
      </c>
      <c r="R127" t="s">
        <v>118</v>
      </c>
      <c r="S127">
        <v>0.15</v>
      </c>
      <c r="T127">
        <v>30</v>
      </c>
      <c r="U127">
        <v>80</v>
      </c>
      <c r="V127">
        <v>0.0856739494173136</v>
      </c>
      <c r="W127">
        <v>9.769962616701378E-13</v>
      </c>
      <c r="X127">
        <v>59.984375</v>
      </c>
      <c r="Y127">
        <v>30</v>
      </c>
      <c r="Z127">
        <v>0.15</v>
      </c>
      <c r="AA127">
        <v>136.1950839786061</v>
      </c>
      <c r="AB127">
        <v>38.28125</v>
      </c>
      <c r="AC127">
        <v>50.78311492832586</v>
      </c>
      <c r="AD127">
        <v>186.9781989069319</v>
      </c>
      <c r="AE127">
        <v>0.1251723013095222</v>
      </c>
      <c r="AF127">
        <v>18.26156735782218</v>
      </c>
      <c r="AG127">
        <v>3.369038381606515E-11</v>
      </c>
      <c r="AH127">
        <v>1.80062943807477E-13</v>
      </c>
      <c r="AI127" t="b">
        <v>0</v>
      </c>
      <c r="AJ127" t="b">
        <v>0</v>
      </c>
      <c r="AK127" t="b">
        <v>1</v>
      </c>
      <c r="AL127">
        <v>0.3644854169106111</v>
      </c>
      <c r="AM127" t="b">
        <v>0</v>
      </c>
    </row>
    <row r="128" spans="1:39">
      <c r="A128" t="s">
        <v>146</v>
      </c>
      <c r="B128">
        <v>50</v>
      </c>
      <c r="C128" t="s">
        <v>143</v>
      </c>
      <c r="D128">
        <v>1.875</v>
      </c>
      <c r="E128">
        <v>30</v>
      </c>
      <c r="F128">
        <v>98</v>
      </c>
      <c r="G128">
        <v>10</v>
      </c>
      <c r="H128">
        <v>0.62</v>
      </c>
      <c r="I128">
        <v>50</v>
      </c>
      <c r="J128">
        <v>177.1033712082751</v>
      </c>
      <c r="K128">
        <v>10</v>
      </c>
      <c r="L128">
        <v>187.1033712082751</v>
      </c>
      <c r="M128">
        <v>0</v>
      </c>
      <c r="N128">
        <v>0</v>
      </c>
      <c r="O128">
        <v>1.834375</v>
      </c>
      <c r="P128">
        <v>0.0856739494173144</v>
      </c>
      <c r="Q128">
        <v>59.984375</v>
      </c>
      <c r="R128" t="s">
        <v>119</v>
      </c>
      <c r="S128">
        <v>0.15</v>
      </c>
      <c r="T128">
        <v>30</v>
      </c>
      <c r="U128">
        <v>100</v>
      </c>
      <c r="V128">
        <v>0.0856739494173136</v>
      </c>
      <c r="W128">
        <v>9.769962616701378E-13</v>
      </c>
      <c r="X128">
        <v>59.984375</v>
      </c>
      <c r="Y128">
        <v>30</v>
      </c>
      <c r="Z128">
        <v>0.15</v>
      </c>
      <c r="AA128">
        <v>127.753156269836</v>
      </c>
      <c r="AB128">
        <v>38.71875</v>
      </c>
      <c r="AC128">
        <v>59.26869747100592</v>
      </c>
      <c r="AD128">
        <v>187.0218537408419</v>
      </c>
      <c r="AE128">
        <v>0.0815174672610746</v>
      </c>
      <c r="AF128">
        <v>14.60620782663983</v>
      </c>
      <c r="AG128">
        <v>1.721266601473203E-10</v>
      </c>
      <c r="AH128">
        <v>9.199548839540505E-13</v>
      </c>
      <c r="AI128" t="b">
        <v>0</v>
      </c>
      <c r="AJ128" t="b">
        <v>0</v>
      </c>
      <c r="AK128" t="b">
        <v>1</v>
      </c>
      <c r="AL128">
        <v>0.3511381669668481</v>
      </c>
      <c r="AM128" t="b">
        <v>0</v>
      </c>
    </row>
    <row r="129" spans="1:39">
      <c r="A129" t="s">
        <v>146</v>
      </c>
      <c r="B129">
        <v>50</v>
      </c>
      <c r="C129" t="s">
        <v>143</v>
      </c>
      <c r="D129">
        <v>1.875</v>
      </c>
      <c r="E129">
        <v>60</v>
      </c>
      <c r="F129">
        <v>98</v>
      </c>
      <c r="G129">
        <v>10</v>
      </c>
      <c r="H129">
        <v>0.62</v>
      </c>
      <c r="I129">
        <v>50</v>
      </c>
      <c r="J129">
        <v>177.1033712082751</v>
      </c>
      <c r="K129">
        <v>10</v>
      </c>
      <c r="L129">
        <v>187.1033712082751</v>
      </c>
      <c r="M129">
        <v>0</v>
      </c>
      <c r="N129">
        <v>0</v>
      </c>
      <c r="O129">
        <v>1.834375</v>
      </c>
      <c r="P129">
        <v>0.0856739494173144</v>
      </c>
      <c r="Q129">
        <v>59.984375</v>
      </c>
      <c r="R129" t="s">
        <v>120</v>
      </c>
      <c r="S129">
        <v>0.3</v>
      </c>
      <c r="T129">
        <v>60</v>
      </c>
      <c r="U129">
        <v>40</v>
      </c>
      <c r="V129">
        <v>0.0856739494173136</v>
      </c>
      <c r="W129">
        <v>9.769962616701378E-13</v>
      </c>
      <c r="X129">
        <v>59.984375</v>
      </c>
      <c r="Y129">
        <v>60</v>
      </c>
      <c r="Z129">
        <v>0.3</v>
      </c>
      <c r="AA129">
        <v>118.3578241086535</v>
      </c>
      <c r="AB129">
        <v>47.21875</v>
      </c>
      <c r="AC129">
        <v>68.59940718803885</v>
      </c>
      <c r="AD129">
        <v>186.9572312966923</v>
      </c>
      <c r="AE129">
        <v>0.1461399115860709</v>
      </c>
      <c r="AF129">
        <v>30.5672344519016</v>
      </c>
      <c r="AG129">
        <v>-3.221062305769351E-12</v>
      </c>
      <c r="AH129">
        <v>1.721541565482435E-14</v>
      </c>
      <c r="AI129" t="b">
        <v>0</v>
      </c>
      <c r="AJ129" t="b">
        <v>0</v>
      </c>
      <c r="AK129" t="b">
        <v>0</v>
      </c>
      <c r="AL129">
        <v>1.047148499987088</v>
      </c>
      <c r="AM129" t="b">
        <v>0</v>
      </c>
    </row>
    <row r="130" spans="1:39">
      <c r="A130" t="s">
        <v>146</v>
      </c>
      <c r="B130">
        <v>50</v>
      </c>
      <c r="C130" t="s">
        <v>143</v>
      </c>
      <c r="D130">
        <v>1.875</v>
      </c>
      <c r="E130">
        <v>30</v>
      </c>
      <c r="F130">
        <v>98</v>
      </c>
      <c r="G130">
        <v>10</v>
      </c>
      <c r="H130">
        <v>0.62</v>
      </c>
      <c r="I130">
        <v>50</v>
      </c>
      <c r="J130">
        <v>177.1033712082751</v>
      </c>
      <c r="K130">
        <v>10</v>
      </c>
      <c r="L130">
        <v>187.1033712082751</v>
      </c>
      <c r="M130">
        <v>0</v>
      </c>
      <c r="N130">
        <v>0</v>
      </c>
      <c r="O130">
        <v>1.834375</v>
      </c>
      <c r="P130">
        <v>0.0856739494173144</v>
      </c>
      <c r="Q130">
        <v>59.984375</v>
      </c>
      <c r="R130" t="s">
        <v>121</v>
      </c>
      <c r="S130">
        <v>0.3</v>
      </c>
      <c r="T130">
        <v>60</v>
      </c>
      <c r="U130">
        <v>60</v>
      </c>
      <c r="V130">
        <v>0.0856739494173136</v>
      </c>
      <c r="W130">
        <v>9.769962616701378E-13</v>
      </c>
      <c r="X130">
        <v>59.984375</v>
      </c>
      <c r="Y130">
        <v>60</v>
      </c>
      <c r="Z130">
        <v>0.3</v>
      </c>
      <c r="AA130">
        <v>109.4902699226109</v>
      </c>
      <c r="AB130">
        <v>47.84375</v>
      </c>
      <c r="AC130">
        <v>77.36444430671997</v>
      </c>
      <c r="AD130">
        <v>186.8547142293308</v>
      </c>
      <c r="AE130">
        <v>0.2486569789632296</v>
      </c>
      <c r="AF130">
        <v>18.7788171152484</v>
      </c>
      <c r="AG130">
        <v>-1.893288303911334E-11</v>
      </c>
      <c r="AH130">
        <v>1.011894276241453E-13</v>
      </c>
      <c r="AI130" t="b">
        <v>0</v>
      </c>
      <c r="AJ130" t="b">
        <v>0</v>
      </c>
      <c r="AK130" t="b">
        <v>1</v>
      </c>
      <c r="AL130">
        <v>0.3479489999590441</v>
      </c>
      <c r="AM130" t="b">
        <v>0</v>
      </c>
    </row>
    <row r="131" spans="1:39">
      <c r="A131" t="s">
        <v>146</v>
      </c>
      <c r="B131">
        <v>50</v>
      </c>
      <c r="C131" t="s">
        <v>143</v>
      </c>
      <c r="D131">
        <v>1.875</v>
      </c>
      <c r="E131">
        <v>30</v>
      </c>
      <c r="F131">
        <v>98</v>
      </c>
      <c r="G131">
        <v>10</v>
      </c>
      <c r="H131">
        <v>0.62</v>
      </c>
      <c r="I131">
        <v>50</v>
      </c>
      <c r="J131">
        <v>177.1033712082751</v>
      </c>
      <c r="K131">
        <v>10</v>
      </c>
      <c r="L131">
        <v>187.1033712082751</v>
      </c>
      <c r="M131">
        <v>0</v>
      </c>
      <c r="N131">
        <v>0</v>
      </c>
      <c r="O131">
        <v>1.834375</v>
      </c>
      <c r="P131">
        <v>0.0856739494173144</v>
      </c>
      <c r="Q131">
        <v>59.984375</v>
      </c>
      <c r="R131" t="s">
        <v>122</v>
      </c>
      <c r="S131">
        <v>0.3</v>
      </c>
      <c r="T131">
        <v>60</v>
      </c>
      <c r="U131">
        <v>80</v>
      </c>
      <c r="V131">
        <v>0.0856739494173136</v>
      </c>
      <c r="W131">
        <v>9.769962616701378E-13</v>
      </c>
      <c r="X131">
        <v>59.984375</v>
      </c>
      <c r="Y131">
        <v>60</v>
      </c>
      <c r="Z131">
        <v>0.3</v>
      </c>
      <c r="AA131">
        <v>98.7082625761559</v>
      </c>
      <c r="AB131">
        <v>48.65625</v>
      </c>
      <c r="AC131">
        <v>88.2604550857215</v>
      </c>
      <c r="AD131">
        <v>186.9687176618774</v>
      </c>
      <c r="AE131">
        <v>0.1346535464483705</v>
      </c>
      <c r="AF131">
        <v>13.610632314199</v>
      </c>
      <c r="AG131">
        <v>-5.062730790150738E-11</v>
      </c>
      <c r="AH131">
        <v>2.705846910965132E-13</v>
      </c>
      <c r="AI131" t="b">
        <v>0</v>
      </c>
      <c r="AJ131" t="b">
        <v>0</v>
      </c>
      <c r="AK131" t="b">
        <v>1</v>
      </c>
      <c r="AL131">
        <v>0.3511499580927193</v>
      </c>
      <c r="AM131" t="b">
        <v>0</v>
      </c>
    </row>
    <row r="132" spans="1:39">
      <c r="A132" t="s">
        <v>146</v>
      </c>
      <c r="B132">
        <v>50</v>
      </c>
      <c r="C132" t="s">
        <v>143</v>
      </c>
      <c r="D132">
        <v>1.875</v>
      </c>
      <c r="E132">
        <v>30</v>
      </c>
      <c r="F132">
        <v>98</v>
      </c>
      <c r="G132">
        <v>10</v>
      </c>
      <c r="H132">
        <v>0.62</v>
      </c>
      <c r="I132">
        <v>50</v>
      </c>
      <c r="J132">
        <v>177.1033712082751</v>
      </c>
      <c r="K132">
        <v>10</v>
      </c>
      <c r="L132">
        <v>187.1033712082751</v>
      </c>
      <c r="M132">
        <v>0</v>
      </c>
      <c r="N132">
        <v>0</v>
      </c>
      <c r="O132">
        <v>1.834375</v>
      </c>
      <c r="P132">
        <v>0.0856739494173144</v>
      </c>
      <c r="Q132">
        <v>59.984375</v>
      </c>
      <c r="R132" t="s">
        <v>123</v>
      </c>
      <c r="S132">
        <v>0.3</v>
      </c>
      <c r="T132">
        <v>60</v>
      </c>
      <c r="U132">
        <v>100</v>
      </c>
      <c r="V132">
        <v>0.0856739494173136</v>
      </c>
      <c r="W132">
        <v>9.769962616701378E-13</v>
      </c>
      <c r="X132">
        <v>59.984375</v>
      </c>
      <c r="Y132">
        <v>60</v>
      </c>
      <c r="Z132">
        <v>0.3</v>
      </c>
      <c r="AA132">
        <v>86.58611291221472</v>
      </c>
      <c r="AB132">
        <v>49.625</v>
      </c>
      <c r="AC132">
        <v>100.4318088479584</v>
      </c>
      <c r="AD132">
        <v>187.0179217601731</v>
      </c>
      <c r="AE132">
        <v>0.08544944811050439</v>
      </c>
      <c r="AF132">
        <v>10.71549678381184</v>
      </c>
      <c r="AG132">
        <v>-8.450656840963688E-12</v>
      </c>
      <c r="AH132">
        <v>4.51657112664036E-14</v>
      </c>
      <c r="AI132" t="b">
        <v>0</v>
      </c>
      <c r="AJ132" t="b">
        <v>0</v>
      </c>
      <c r="AK132" t="b">
        <v>1</v>
      </c>
      <c r="AL132">
        <v>0.3643907499499619</v>
      </c>
      <c r="AM132" t="b">
        <v>0</v>
      </c>
    </row>
    <row r="133" spans="1:39">
      <c r="A133" t="s">
        <v>146</v>
      </c>
      <c r="B133">
        <v>50</v>
      </c>
      <c r="C133" t="s">
        <v>143</v>
      </c>
      <c r="D133">
        <v>1.875</v>
      </c>
      <c r="E133">
        <v>30</v>
      </c>
      <c r="F133">
        <v>98</v>
      </c>
      <c r="G133">
        <v>10</v>
      </c>
      <c r="H133">
        <v>0.62</v>
      </c>
      <c r="I133">
        <v>50</v>
      </c>
      <c r="J133">
        <v>177.1033712082751</v>
      </c>
      <c r="K133">
        <v>10</v>
      </c>
      <c r="L133">
        <v>187.1033712082751</v>
      </c>
      <c r="M133">
        <v>0</v>
      </c>
      <c r="N133">
        <v>0</v>
      </c>
      <c r="O133">
        <v>1.834375</v>
      </c>
      <c r="P133">
        <v>0.0856739494173144</v>
      </c>
      <c r="Q133">
        <v>59.984375</v>
      </c>
      <c r="R133" t="s">
        <v>124</v>
      </c>
      <c r="S133">
        <v>0.45</v>
      </c>
      <c r="T133">
        <v>90</v>
      </c>
      <c r="U133">
        <v>40</v>
      </c>
      <c r="V133">
        <v>0.0856739494173173</v>
      </c>
      <c r="W133">
        <v>-3.441691376337985E-12</v>
      </c>
      <c r="X133">
        <v>59.984375</v>
      </c>
      <c r="Y133">
        <v>90</v>
      </c>
      <c r="Z133">
        <v>0.45</v>
      </c>
      <c r="AA133">
        <v>87.08161021667621</v>
      </c>
      <c r="AB133">
        <v>54.65625</v>
      </c>
      <c r="AC133">
        <v>99.14775950060933</v>
      </c>
      <c r="AD133">
        <v>186.2293697172855</v>
      </c>
      <c r="AE133">
        <v>0.8740014909950364</v>
      </c>
      <c r="AF133">
        <v>28.66600313662778</v>
      </c>
      <c r="AG133">
        <v>-5.409006575973763E-12</v>
      </c>
      <c r="AH133">
        <v>2.890918822597108E-14</v>
      </c>
      <c r="AI133" t="b">
        <v>0</v>
      </c>
      <c r="AJ133" t="b">
        <v>0</v>
      </c>
      <c r="AK133" t="b">
        <v>0</v>
      </c>
      <c r="AL133">
        <v>0.3446539590368047</v>
      </c>
      <c r="AM133" t="b">
        <v>0</v>
      </c>
    </row>
    <row r="134" spans="1:39">
      <c r="A134" t="s">
        <v>146</v>
      </c>
      <c r="B134">
        <v>50</v>
      </c>
      <c r="C134" t="s">
        <v>143</v>
      </c>
      <c r="D134">
        <v>1.875</v>
      </c>
      <c r="E134">
        <v>30</v>
      </c>
      <c r="F134">
        <v>98</v>
      </c>
      <c r="G134">
        <v>10</v>
      </c>
      <c r="H134">
        <v>0.62</v>
      </c>
      <c r="I134">
        <v>50</v>
      </c>
      <c r="J134">
        <v>177.1033712082751</v>
      </c>
      <c r="K134">
        <v>10</v>
      </c>
      <c r="L134">
        <v>187.1033712082751</v>
      </c>
      <c r="M134">
        <v>0</v>
      </c>
      <c r="N134">
        <v>0</v>
      </c>
      <c r="O134">
        <v>1.834375</v>
      </c>
      <c r="P134">
        <v>0.0856739494173144</v>
      </c>
      <c r="Q134">
        <v>59.984375</v>
      </c>
      <c r="R134" t="s">
        <v>125</v>
      </c>
      <c r="S134">
        <v>0.45</v>
      </c>
      <c r="T134">
        <v>90</v>
      </c>
      <c r="U134">
        <v>60</v>
      </c>
      <c r="V134">
        <v>0.0856739494173173</v>
      </c>
      <c r="W134">
        <v>-3.441691376337985E-12</v>
      </c>
      <c r="X134">
        <v>59.984375</v>
      </c>
      <c r="Y134">
        <v>90</v>
      </c>
      <c r="Z134">
        <v>0.45</v>
      </c>
      <c r="AA134">
        <v>76.99462356123993</v>
      </c>
      <c r="AB134">
        <v>55.5</v>
      </c>
      <c r="AC134">
        <v>109.8334568446455</v>
      </c>
      <c r="AD134">
        <v>186.8280804058854</v>
      </c>
      <c r="AE134">
        <v>0.2752908024224744</v>
      </c>
      <c r="AF134">
        <v>16.81256168673528</v>
      </c>
      <c r="AG134">
        <v>-3.275524296242338E-11</v>
      </c>
      <c r="AH134">
        <v>1.750649534046167E-13</v>
      </c>
      <c r="AI134" t="b">
        <v>0</v>
      </c>
      <c r="AJ134" t="b">
        <v>0</v>
      </c>
      <c r="AK134" t="b">
        <v>1</v>
      </c>
      <c r="AL134">
        <v>0.355659042019397</v>
      </c>
      <c r="AM134" t="b">
        <v>0</v>
      </c>
    </row>
    <row r="135" spans="1:39">
      <c r="A135" t="s">
        <v>146</v>
      </c>
      <c r="B135">
        <v>50</v>
      </c>
      <c r="C135" t="s">
        <v>143</v>
      </c>
      <c r="D135">
        <v>1.875</v>
      </c>
      <c r="E135">
        <v>30</v>
      </c>
      <c r="F135">
        <v>98</v>
      </c>
      <c r="G135">
        <v>10</v>
      </c>
      <c r="H135">
        <v>0.62</v>
      </c>
      <c r="I135">
        <v>50</v>
      </c>
      <c r="J135">
        <v>177.1033712082751</v>
      </c>
      <c r="K135">
        <v>10</v>
      </c>
      <c r="L135">
        <v>187.1033712082751</v>
      </c>
      <c r="M135">
        <v>0</v>
      </c>
      <c r="N135">
        <v>0</v>
      </c>
      <c r="O135">
        <v>1.834375</v>
      </c>
      <c r="P135">
        <v>0.0856739494173144</v>
      </c>
      <c r="Q135">
        <v>59.984375</v>
      </c>
      <c r="R135" t="s">
        <v>126</v>
      </c>
      <c r="S135">
        <v>0.45</v>
      </c>
      <c r="T135">
        <v>90</v>
      </c>
      <c r="U135">
        <v>80</v>
      </c>
      <c r="V135">
        <v>0.0856739494173173</v>
      </c>
      <c r="W135">
        <v>-3.441691376337985E-12</v>
      </c>
      <c r="X135">
        <v>59.984375</v>
      </c>
      <c r="Y135">
        <v>90</v>
      </c>
      <c r="Z135">
        <v>0.45</v>
      </c>
      <c r="AA135">
        <v>64.79968302294002</v>
      </c>
      <c r="AB135">
        <v>56.625</v>
      </c>
      <c r="AC135">
        <v>122.1613279582518</v>
      </c>
      <c r="AD135">
        <v>186.9610109811918</v>
      </c>
      <c r="AE135">
        <v>0.1423602271951055</v>
      </c>
      <c r="AF135">
        <v>11.87100131241092</v>
      </c>
      <c r="AG135">
        <v>-1.117613224188574E-10</v>
      </c>
      <c r="AH135">
        <v>5.973239375492046E-13</v>
      </c>
      <c r="AI135" t="b">
        <v>0</v>
      </c>
      <c r="AJ135" t="b">
        <v>0</v>
      </c>
      <c r="AK135" t="b">
        <v>1</v>
      </c>
      <c r="AL135">
        <v>0.3550380420638248</v>
      </c>
      <c r="AM135" t="b">
        <v>0</v>
      </c>
    </row>
    <row r="136" spans="1:39">
      <c r="A136" t="s">
        <v>146</v>
      </c>
      <c r="B136">
        <v>50</v>
      </c>
      <c r="C136" t="s">
        <v>143</v>
      </c>
      <c r="D136">
        <v>1.875</v>
      </c>
      <c r="E136">
        <v>30</v>
      </c>
      <c r="F136">
        <v>98</v>
      </c>
      <c r="G136">
        <v>10</v>
      </c>
      <c r="H136">
        <v>0.62</v>
      </c>
      <c r="I136">
        <v>50</v>
      </c>
      <c r="J136">
        <v>177.1033712082751</v>
      </c>
      <c r="K136">
        <v>10</v>
      </c>
      <c r="L136">
        <v>187.1033712082751</v>
      </c>
      <c r="M136">
        <v>0</v>
      </c>
      <c r="N136">
        <v>0</v>
      </c>
      <c r="O136">
        <v>1.834375</v>
      </c>
      <c r="P136">
        <v>0.0856739494173144</v>
      </c>
      <c r="Q136">
        <v>59.984375</v>
      </c>
      <c r="R136" t="s">
        <v>127</v>
      </c>
      <c r="S136">
        <v>0.45</v>
      </c>
      <c r="T136">
        <v>90</v>
      </c>
      <c r="U136">
        <v>100</v>
      </c>
      <c r="V136">
        <v>0.0856739494173173</v>
      </c>
      <c r="W136">
        <v>-3.441691376337985E-12</v>
      </c>
      <c r="X136">
        <v>59.984375</v>
      </c>
      <c r="Y136">
        <v>90</v>
      </c>
      <c r="Z136">
        <v>0.45</v>
      </c>
      <c r="AA136">
        <v>51.21876582747655</v>
      </c>
      <c r="AB136">
        <v>58.03125</v>
      </c>
      <c r="AC136">
        <v>135.796092822164</v>
      </c>
      <c r="AD136">
        <v>187.0148586496406</v>
      </c>
      <c r="AE136">
        <v>0.0885125588836866</v>
      </c>
      <c r="AF136">
        <v>9.194351532660168</v>
      </c>
      <c r="AG136">
        <v>-2.490675027333466E-10</v>
      </c>
      <c r="AH136">
        <v>1.331175922298566E-12</v>
      </c>
      <c r="AI136" t="b">
        <v>0</v>
      </c>
      <c r="AJ136" t="b">
        <v>0</v>
      </c>
      <c r="AK136" t="b">
        <v>1</v>
      </c>
      <c r="AL136">
        <v>0.3605384159600362</v>
      </c>
      <c r="AM136" t="b">
        <v>0</v>
      </c>
    </row>
    <row r="137" spans="1:39">
      <c r="A137" t="s">
        <v>146</v>
      </c>
      <c r="B137">
        <v>50</v>
      </c>
      <c r="C137" t="s">
        <v>143</v>
      </c>
      <c r="D137">
        <v>1.875</v>
      </c>
      <c r="E137">
        <v>30</v>
      </c>
      <c r="F137">
        <v>98</v>
      </c>
      <c r="G137">
        <v>10</v>
      </c>
      <c r="H137">
        <v>0.62</v>
      </c>
      <c r="I137">
        <v>50</v>
      </c>
      <c r="J137">
        <v>177.1033712082751</v>
      </c>
      <c r="K137">
        <v>10</v>
      </c>
      <c r="L137">
        <v>187.1033712082751</v>
      </c>
      <c r="M137">
        <v>0</v>
      </c>
      <c r="N137">
        <v>0</v>
      </c>
      <c r="O137">
        <v>1.834375</v>
      </c>
      <c r="P137">
        <v>0.0856739494173144</v>
      </c>
      <c r="Q137">
        <v>59.984375</v>
      </c>
      <c r="R137" t="s">
        <v>128</v>
      </c>
      <c r="S137">
        <v>0.6</v>
      </c>
      <c r="T137">
        <v>120</v>
      </c>
      <c r="U137">
        <v>40</v>
      </c>
      <c r="V137">
        <v>0.0839730596233494</v>
      </c>
      <c r="W137">
        <v>1.985305691558659</v>
      </c>
      <c r="X137">
        <v>63.015625</v>
      </c>
      <c r="Y137">
        <v>120</v>
      </c>
      <c r="Z137">
        <v>0.6</v>
      </c>
      <c r="AA137">
        <v>56.23739887735477</v>
      </c>
      <c r="AB137">
        <v>61.0625</v>
      </c>
      <c r="AC137">
        <v>129.7475142041396</v>
      </c>
      <c r="AD137">
        <v>185.9849130814943</v>
      </c>
      <c r="AE137">
        <v>1.118458126785782</v>
      </c>
      <c r="AF137">
        <v>28.29840497795413</v>
      </c>
      <c r="AG137">
        <v>-4.973799150320701E-12</v>
      </c>
      <c r="AH137">
        <v>2.658316158709983E-14</v>
      </c>
      <c r="AI137" t="b">
        <v>0</v>
      </c>
      <c r="AJ137" t="b">
        <v>0</v>
      </c>
      <c r="AK137" t="b">
        <v>0</v>
      </c>
      <c r="AL137">
        <v>0.3478322499431669</v>
      </c>
      <c r="AM137" t="b">
        <v>0</v>
      </c>
    </row>
    <row r="138" spans="1:39">
      <c r="A138" t="s">
        <v>146</v>
      </c>
      <c r="B138">
        <v>50</v>
      </c>
      <c r="C138" t="s">
        <v>143</v>
      </c>
      <c r="D138">
        <v>1.875</v>
      </c>
      <c r="E138">
        <v>30</v>
      </c>
      <c r="F138">
        <v>98</v>
      </c>
      <c r="G138">
        <v>10</v>
      </c>
      <c r="H138">
        <v>0.62</v>
      </c>
      <c r="I138">
        <v>50</v>
      </c>
      <c r="J138">
        <v>177.1033712082751</v>
      </c>
      <c r="K138">
        <v>10</v>
      </c>
      <c r="L138">
        <v>187.1033712082751</v>
      </c>
      <c r="M138">
        <v>0</v>
      </c>
      <c r="N138">
        <v>0</v>
      </c>
      <c r="O138">
        <v>1.834375</v>
      </c>
      <c r="P138">
        <v>0.0856739494173144</v>
      </c>
      <c r="Q138">
        <v>59.984375</v>
      </c>
      <c r="R138" t="s">
        <v>129</v>
      </c>
      <c r="S138">
        <v>0.6</v>
      </c>
      <c r="T138">
        <v>120</v>
      </c>
      <c r="U138">
        <v>60</v>
      </c>
      <c r="V138">
        <v>0.0839730596233494</v>
      </c>
      <c r="W138">
        <v>1.985305691558659</v>
      </c>
      <c r="X138">
        <v>63.015625</v>
      </c>
      <c r="Y138">
        <v>120</v>
      </c>
      <c r="Z138">
        <v>0.6</v>
      </c>
      <c r="AA138">
        <v>45.44153959930853</v>
      </c>
      <c r="AB138">
        <v>62.15625</v>
      </c>
      <c r="AC138">
        <v>141.3609102734854</v>
      </c>
      <c r="AD138">
        <v>186.8024498727939</v>
      </c>
      <c r="AE138">
        <v>0.3009213355233745</v>
      </c>
      <c r="AF138">
        <v>15.97912642094456</v>
      </c>
      <c r="AG138">
        <v>-4.216837989901023E-11</v>
      </c>
      <c r="AH138">
        <v>2.253747734564883E-13</v>
      </c>
      <c r="AI138" t="b">
        <v>0</v>
      </c>
      <c r="AJ138" t="b">
        <v>0</v>
      </c>
      <c r="AK138" t="b">
        <v>1</v>
      </c>
      <c r="AL138">
        <v>0.3505696249194443</v>
      </c>
      <c r="AM138" t="b">
        <v>0</v>
      </c>
    </row>
    <row r="139" spans="1:39">
      <c r="A139" t="s">
        <v>146</v>
      </c>
      <c r="B139">
        <v>50</v>
      </c>
      <c r="C139" t="s">
        <v>143</v>
      </c>
      <c r="D139">
        <v>1.875</v>
      </c>
      <c r="E139">
        <v>30</v>
      </c>
      <c r="F139">
        <v>98</v>
      </c>
      <c r="G139">
        <v>10</v>
      </c>
      <c r="H139">
        <v>0.62</v>
      </c>
      <c r="I139">
        <v>50</v>
      </c>
      <c r="J139">
        <v>177.1033712082751</v>
      </c>
      <c r="K139">
        <v>10</v>
      </c>
      <c r="L139">
        <v>187.1033712082751</v>
      </c>
      <c r="M139">
        <v>0</v>
      </c>
      <c r="N139">
        <v>0</v>
      </c>
      <c r="O139">
        <v>1.834375</v>
      </c>
      <c r="P139">
        <v>0.0856739494173144</v>
      </c>
      <c r="Q139">
        <v>59.984375</v>
      </c>
      <c r="R139" t="s">
        <v>130</v>
      </c>
      <c r="S139">
        <v>0.6</v>
      </c>
      <c r="T139">
        <v>120</v>
      </c>
      <c r="U139">
        <v>80</v>
      </c>
      <c r="V139">
        <v>0.0837150472570556</v>
      </c>
      <c r="W139">
        <v>2.286461840012843</v>
      </c>
      <c r="X139">
        <v>63.734375</v>
      </c>
      <c r="Y139">
        <v>120</v>
      </c>
      <c r="Z139">
        <v>0.6</v>
      </c>
      <c r="AA139">
        <v>32.5494156133772</v>
      </c>
      <c r="AB139">
        <v>63.6875</v>
      </c>
      <c r="AC139">
        <v>154.4046682519749</v>
      </c>
      <c r="AD139">
        <v>186.9540838653521</v>
      </c>
      <c r="AE139">
        <v>0.1492873430867508</v>
      </c>
      <c r="AF139">
        <v>11.02321110249451</v>
      </c>
      <c r="AG139">
        <v>-1.636909219282501E-10</v>
      </c>
      <c r="AH139">
        <v>8.748689073380546E-13</v>
      </c>
      <c r="AI139" t="b">
        <v>0</v>
      </c>
      <c r="AJ139" t="b">
        <v>0</v>
      </c>
      <c r="AK139" t="b">
        <v>1</v>
      </c>
      <c r="AL139">
        <v>0.3682787079596892</v>
      </c>
      <c r="AM139" t="b">
        <v>0</v>
      </c>
    </row>
    <row r="140" spans="1:39">
      <c r="A140" t="s">
        <v>146</v>
      </c>
      <c r="B140">
        <v>50</v>
      </c>
      <c r="C140" t="s">
        <v>143</v>
      </c>
      <c r="D140">
        <v>1.875</v>
      </c>
      <c r="E140">
        <v>30</v>
      </c>
      <c r="F140">
        <v>98</v>
      </c>
      <c r="G140">
        <v>10</v>
      </c>
      <c r="H140">
        <v>0.62</v>
      </c>
      <c r="I140">
        <v>50</v>
      </c>
      <c r="J140">
        <v>177.1033712082751</v>
      </c>
      <c r="K140">
        <v>10</v>
      </c>
      <c r="L140">
        <v>187.1033712082751</v>
      </c>
      <c r="M140">
        <v>0</v>
      </c>
      <c r="N140">
        <v>0</v>
      </c>
      <c r="O140">
        <v>1.834375</v>
      </c>
      <c r="P140">
        <v>0.0856739494173144</v>
      </c>
      <c r="Q140">
        <v>59.984375</v>
      </c>
      <c r="R140" t="s">
        <v>131</v>
      </c>
      <c r="S140">
        <v>0.6</v>
      </c>
      <c r="T140">
        <v>120</v>
      </c>
      <c r="U140">
        <v>100</v>
      </c>
      <c r="V140">
        <v>0.0792588966446601</v>
      </c>
      <c r="W140">
        <v>7.487751896911899</v>
      </c>
      <c r="X140">
        <v>65.890625</v>
      </c>
      <c r="Y140">
        <v>120</v>
      </c>
      <c r="Z140">
        <v>0.6</v>
      </c>
      <c r="AA140">
        <v>18.4592537577429</v>
      </c>
      <c r="AB140">
        <v>65.84375</v>
      </c>
      <c r="AC140">
        <v>168.5529340159486</v>
      </c>
      <c r="AD140">
        <v>187.0121877736914</v>
      </c>
      <c r="AE140">
        <v>0.09118343503023139</v>
      </c>
      <c r="AF140">
        <v>8.407698695116553</v>
      </c>
      <c r="AG140">
        <v>-4.465761233030108E-10</v>
      </c>
      <c r="AH140">
        <v>2.386788225242089E-12</v>
      </c>
      <c r="AI140" t="b">
        <v>0</v>
      </c>
      <c r="AJ140" t="b">
        <v>0</v>
      </c>
      <c r="AK140" t="b">
        <v>1</v>
      </c>
      <c r="AL140">
        <v>0.362590916105546</v>
      </c>
      <c r="AM140" t="b">
        <v>0</v>
      </c>
    </row>
    <row r="141" spans="1:39">
      <c r="A141" t="s">
        <v>146</v>
      </c>
      <c r="B141">
        <v>50</v>
      </c>
      <c r="C141" t="s">
        <v>143</v>
      </c>
      <c r="D141">
        <v>1.875</v>
      </c>
      <c r="E141">
        <v>30</v>
      </c>
      <c r="F141">
        <v>98</v>
      </c>
      <c r="G141">
        <v>10</v>
      </c>
      <c r="H141">
        <v>0.62</v>
      </c>
      <c r="I141">
        <v>50</v>
      </c>
      <c r="J141">
        <v>177.1033712082751</v>
      </c>
      <c r="K141">
        <v>10</v>
      </c>
      <c r="L141">
        <v>187.1033712082751</v>
      </c>
      <c r="M141">
        <v>0</v>
      </c>
      <c r="N141">
        <v>0</v>
      </c>
      <c r="O141">
        <v>1.834375</v>
      </c>
      <c r="P141">
        <v>0.0856739494173144</v>
      </c>
      <c r="Q141">
        <v>59.984375</v>
      </c>
      <c r="R141" t="s">
        <v>132</v>
      </c>
      <c r="S141">
        <v>0.75</v>
      </c>
      <c r="T141">
        <v>150</v>
      </c>
      <c r="U141">
        <v>40</v>
      </c>
      <c r="V141">
        <v>0.0713817731590097</v>
      </c>
      <c r="W141">
        <v>16.68205604563419</v>
      </c>
      <c r="X141">
        <v>67.578125</v>
      </c>
      <c r="Y141">
        <v>150</v>
      </c>
      <c r="Z141">
        <v>0.75</v>
      </c>
      <c r="AA141">
        <v>25.67118629295353</v>
      </c>
      <c r="AB141">
        <v>67.53125</v>
      </c>
      <c r="AC141">
        <v>160.0036283614456</v>
      </c>
      <c r="AD141">
        <v>185.6748146543991</v>
      </c>
      <c r="AE141">
        <v>1.428556553880408</v>
      </c>
      <c r="AF141">
        <v>28.56717293068588</v>
      </c>
      <c r="AG141">
        <v>-4.372502360183717E-12</v>
      </c>
      <c r="AH141">
        <v>2.336944723094509E-14</v>
      </c>
      <c r="AI141" t="b">
        <v>0</v>
      </c>
      <c r="AJ141" t="b">
        <v>0</v>
      </c>
      <c r="AK141" t="b">
        <v>0</v>
      </c>
      <c r="AL141">
        <v>0.345080625033006</v>
      </c>
      <c r="AM141" t="b">
        <v>0</v>
      </c>
    </row>
    <row r="142" spans="1:39">
      <c r="A142" t="s">
        <v>146</v>
      </c>
      <c r="B142">
        <v>50</v>
      </c>
      <c r="C142" t="s">
        <v>143</v>
      </c>
      <c r="D142">
        <v>1.875</v>
      </c>
      <c r="E142">
        <v>30</v>
      </c>
      <c r="F142">
        <v>98</v>
      </c>
      <c r="G142">
        <v>10</v>
      </c>
      <c r="H142">
        <v>0.62</v>
      </c>
      <c r="I142">
        <v>50</v>
      </c>
      <c r="J142">
        <v>177.1033712082751</v>
      </c>
      <c r="K142">
        <v>10</v>
      </c>
      <c r="L142">
        <v>187.1033712082751</v>
      </c>
      <c r="M142">
        <v>0</v>
      </c>
      <c r="N142">
        <v>0</v>
      </c>
      <c r="O142">
        <v>1.834375</v>
      </c>
      <c r="P142">
        <v>0.0856739494173144</v>
      </c>
      <c r="Q142">
        <v>59.984375</v>
      </c>
      <c r="R142" t="s">
        <v>133</v>
      </c>
      <c r="S142">
        <v>0.75</v>
      </c>
      <c r="T142">
        <v>150</v>
      </c>
      <c r="U142">
        <v>60</v>
      </c>
      <c r="V142">
        <v>0.059631993554179</v>
      </c>
      <c r="W142">
        <v>30.3965861738042</v>
      </c>
      <c r="X142">
        <v>69.484375</v>
      </c>
      <c r="Y142">
        <v>150</v>
      </c>
      <c r="Z142">
        <v>0.75</v>
      </c>
      <c r="AA142">
        <v>14.50122694854097</v>
      </c>
      <c r="AB142">
        <v>69.4375</v>
      </c>
      <c r="AC142">
        <v>172.2757028595313</v>
      </c>
      <c r="AD142">
        <v>186.7769298080723</v>
      </c>
      <c r="AE142">
        <v>0.3264414002516701</v>
      </c>
      <c r="AF142">
        <v>15.64044549299203</v>
      </c>
      <c r="AG142">
        <v>-4.877442894013484E-11</v>
      </c>
      <c r="AH142">
        <v>2.606817216876404E-13</v>
      </c>
      <c r="AI142" t="b">
        <v>0</v>
      </c>
      <c r="AJ142" t="b">
        <v>0</v>
      </c>
      <c r="AK142" t="b">
        <v>1</v>
      </c>
      <c r="AL142">
        <v>0.3579547919798642</v>
      </c>
      <c r="AM142" t="b">
        <v>0</v>
      </c>
    </row>
    <row r="143" spans="1:39">
      <c r="A143" t="s">
        <v>146</v>
      </c>
      <c r="B143">
        <v>50</v>
      </c>
      <c r="C143" t="s">
        <v>143</v>
      </c>
      <c r="D143">
        <v>1.875</v>
      </c>
      <c r="E143">
        <v>30</v>
      </c>
      <c r="F143">
        <v>98</v>
      </c>
      <c r="G143">
        <v>10</v>
      </c>
      <c r="H143">
        <v>0.62</v>
      </c>
      <c r="I143">
        <v>50</v>
      </c>
      <c r="J143">
        <v>177.1033712082751</v>
      </c>
      <c r="K143">
        <v>10</v>
      </c>
      <c r="L143">
        <v>187.1033712082751</v>
      </c>
      <c r="M143">
        <v>0</v>
      </c>
      <c r="N143">
        <v>0</v>
      </c>
      <c r="O143">
        <v>1.834375</v>
      </c>
      <c r="P143">
        <v>0.0856739494173144</v>
      </c>
      <c r="Q143">
        <v>59.984375</v>
      </c>
      <c r="R143" t="s">
        <v>134</v>
      </c>
      <c r="S143">
        <v>0.75</v>
      </c>
      <c r="T143">
        <v>150</v>
      </c>
      <c r="U143">
        <v>80</v>
      </c>
      <c r="V143">
        <v>0.0283446204221187</v>
      </c>
      <c r="W143">
        <v>66.91570703242213</v>
      </c>
      <c r="X143">
        <v>74.671875</v>
      </c>
      <c r="Y143">
        <v>150</v>
      </c>
      <c r="Z143">
        <v>0.75</v>
      </c>
      <c r="AA143">
        <v>1.440647481701517</v>
      </c>
      <c r="AB143">
        <v>74.625</v>
      </c>
      <c r="AC143">
        <v>185.5069499800863</v>
      </c>
      <c r="AD143">
        <v>186.9475974617878</v>
      </c>
      <c r="AE143">
        <v>0.1557737466947416</v>
      </c>
      <c r="AF143">
        <v>10.5733705924843</v>
      </c>
      <c r="AG143">
        <v>-2.074573013377545E-10</v>
      </c>
      <c r="AH143">
        <v>1.108784411515612E-12</v>
      </c>
      <c r="AI143" t="b">
        <v>1</v>
      </c>
      <c r="AJ143" t="b">
        <v>0</v>
      </c>
      <c r="AK143" t="b">
        <v>1</v>
      </c>
      <c r="AL143">
        <v>0.3602565419860184</v>
      </c>
      <c r="AM143" t="b">
        <v>0</v>
      </c>
    </row>
    <row r="144" spans="1:39">
      <c r="A144" t="s">
        <v>146</v>
      </c>
      <c r="B144">
        <v>50</v>
      </c>
      <c r="C144" t="s">
        <v>143</v>
      </c>
      <c r="D144">
        <v>1.875</v>
      </c>
      <c r="E144">
        <v>30</v>
      </c>
      <c r="F144">
        <v>98</v>
      </c>
      <c r="G144">
        <v>10</v>
      </c>
      <c r="H144">
        <v>0.62</v>
      </c>
      <c r="I144">
        <v>50</v>
      </c>
      <c r="J144">
        <v>177.1033712082751</v>
      </c>
      <c r="K144">
        <v>10</v>
      </c>
      <c r="L144">
        <v>187.1033712082751</v>
      </c>
      <c r="M144">
        <v>0</v>
      </c>
      <c r="N144">
        <v>0</v>
      </c>
      <c r="O144">
        <v>1.834375</v>
      </c>
      <c r="P144">
        <v>0.0856739494173144</v>
      </c>
      <c r="Q144">
        <v>59.984375</v>
      </c>
      <c r="R144" t="s">
        <v>135</v>
      </c>
      <c r="S144">
        <v>0.75</v>
      </c>
      <c r="T144">
        <v>150</v>
      </c>
      <c r="U144">
        <v>100</v>
      </c>
      <c r="V144">
        <v>0.0219402108666138</v>
      </c>
      <c r="W144">
        <v>74.39103599655019</v>
      </c>
      <c r="X144">
        <v>76.171875</v>
      </c>
      <c r="Y144">
        <v>137.7613649883793</v>
      </c>
      <c r="Z144">
        <v>0.6888068249418966</v>
      </c>
      <c r="AA144">
        <v>0</v>
      </c>
      <c r="AC144">
        <v>187.0107226924737</v>
      </c>
      <c r="AD144">
        <v>187.0107226924737</v>
      </c>
      <c r="AE144">
        <v>0.0926485163734775</v>
      </c>
      <c r="AF144">
        <v>7.805989400841937</v>
      </c>
      <c r="AG144">
        <v>-5.720061230229945E-10</v>
      </c>
      <c r="AH144">
        <v>3.057166310414914E-12</v>
      </c>
      <c r="AI144" t="b">
        <v>1</v>
      </c>
      <c r="AJ144" t="b">
        <v>1</v>
      </c>
      <c r="AK144" t="b">
        <v>1</v>
      </c>
      <c r="AL144">
        <v>0.366327750030905</v>
      </c>
      <c r="AM144" t="b">
        <v>1</v>
      </c>
    </row>
    <row r="145" spans="1:39">
      <c r="A145" t="s">
        <v>146</v>
      </c>
      <c r="B145">
        <v>50</v>
      </c>
      <c r="C145" t="s">
        <v>143</v>
      </c>
      <c r="D145">
        <v>1.875</v>
      </c>
      <c r="E145">
        <v>30</v>
      </c>
      <c r="F145">
        <v>98</v>
      </c>
      <c r="G145">
        <v>10</v>
      </c>
      <c r="H145">
        <v>0.62</v>
      </c>
      <c r="I145">
        <v>50</v>
      </c>
      <c r="J145">
        <v>177.1033712082751</v>
      </c>
      <c r="K145">
        <v>10</v>
      </c>
      <c r="L145">
        <v>187.1033712082751</v>
      </c>
      <c r="M145">
        <v>0</v>
      </c>
      <c r="N145">
        <v>0</v>
      </c>
      <c r="O145">
        <v>1.834375</v>
      </c>
      <c r="P145">
        <v>0.0856739494173144</v>
      </c>
      <c r="Q145">
        <v>59.984375</v>
      </c>
      <c r="R145" t="s">
        <v>136</v>
      </c>
      <c r="S145">
        <v>0.9</v>
      </c>
      <c r="T145">
        <v>180</v>
      </c>
      <c r="U145">
        <v>40</v>
      </c>
      <c r="V145">
        <v>0.0040669067284391</v>
      </c>
      <c r="W145">
        <v>95.25304161171628</v>
      </c>
      <c r="X145">
        <v>86.484375</v>
      </c>
      <c r="Y145">
        <v>175.3973560232901</v>
      </c>
      <c r="Z145">
        <v>0.8769867801164507</v>
      </c>
      <c r="AA145">
        <v>0</v>
      </c>
      <c r="AC145">
        <v>185.3394684511132</v>
      </c>
      <c r="AD145">
        <v>185.3394684511132</v>
      </c>
      <c r="AE145">
        <v>1.763902757168125</v>
      </c>
      <c r="AF145">
        <v>28.83715068836976</v>
      </c>
      <c r="AG145">
        <v>-6.138645147757416E-12</v>
      </c>
      <c r="AH145">
        <v>3.28088430909358E-14</v>
      </c>
      <c r="AI145" t="b">
        <v>1</v>
      </c>
      <c r="AJ145" t="b">
        <v>1</v>
      </c>
      <c r="AK145" t="b">
        <v>0</v>
      </c>
      <c r="AL145">
        <v>0.3638668329222128</v>
      </c>
      <c r="AM145" t="b">
        <v>0</v>
      </c>
    </row>
    <row r="146" spans="1:39">
      <c r="A146" t="s">
        <v>146</v>
      </c>
      <c r="B146">
        <v>50</v>
      </c>
      <c r="C146" t="s">
        <v>143</v>
      </c>
      <c r="D146">
        <v>1.875</v>
      </c>
      <c r="E146">
        <v>30</v>
      </c>
      <c r="F146">
        <v>98</v>
      </c>
      <c r="G146">
        <v>10</v>
      </c>
      <c r="H146">
        <v>0.62</v>
      </c>
      <c r="I146">
        <v>50</v>
      </c>
      <c r="J146">
        <v>177.1033712082751</v>
      </c>
      <c r="K146">
        <v>10</v>
      </c>
      <c r="L146">
        <v>187.1033712082751</v>
      </c>
      <c r="M146">
        <v>0</v>
      </c>
      <c r="N146">
        <v>0</v>
      </c>
      <c r="O146">
        <v>1.834375</v>
      </c>
      <c r="P146">
        <v>0.0856739494173144</v>
      </c>
      <c r="Q146">
        <v>59.984375</v>
      </c>
      <c r="R146" t="s">
        <v>137</v>
      </c>
      <c r="S146">
        <v>0.9</v>
      </c>
      <c r="T146">
        <v>180</v>
      </c>
      <c r="U146">
        <v>60</v>
      </c>
      <c r="V146">
        <v>0.0087930504942971</v>
      </c>
      <c r="W146">
        <v>89.73661124052245</v>
      </c>
      <c r="X146">
        <v>81.796875</v>
      </c>
      <c r="Y146">
        <v>164.2785637134166</v>
      </c>
      <c r="Z146">
        <v>0.8213928185670831</v>
      </c>
      <c r="AA146">
        <v>0</v>
      </c>
      <c r="AC146">
        <v>186.7646772609125</v>
      </c>
      <c r="AD146">
        <v>186.7646772609125</v>
      </c>
      <c r="AE146">
        <v>0.3386939474157956</v>
      </c>
      <c r="AF146">
        <v>15.07969039379593</v>
      </c>
      <c r="AG146">
        <v>-5.311029394050593E-11</v>
      </c>
      <c r="AH146">
        <v>2.838553554515376E-13</v>
      </c>
      <c r="AI146" t="b">
        <v>1</v>
      </c>
      <c r="AJ146" t="b">
        <v>1</v>
      </c>
      <c r="AK146" t="b">
        <v>1</v>
      </c>
      <c r="AL146">
        <v>0.3568087499588728</v>
      </c>
      <c r="AM146" t="b">
        <v>1</v>
      </c>
    </row>
    <row r="147" spans="1:39">
      <c r="A147" t="s">
        <v>146</v>
      </c>
      <c r="B147">
        <v>50</v>
      </c>
      <c r="C147" t="s">
        <v>143</v>
      </c>
      <c r="D147">
        <v>1.875</v>
      </c>
      <c r="E147">
        <v>30</v>
      </c>
      <c r="F147">
        <v>98</v>
      </c>
      <c r="G147">
        <v>10</v>
      </c>
      <c r="H147">
        <v>0.62</v>
      </c>
      <c r="I147">
        <v>50</v>
      </c>
      <c r="J147">
        <v>177.1033712082751</v>
      </c>
      <c r="K147">
        <v>10</v>
      </c>
      <c r="L147">
        <v>187.1033712082751</v>
      </c>
      <c r="M147">
        <v>0</v>
      </c>
      <c r="N147">
        <v>0</v>
      </c>
      <c r="O147">
        <v>1.834375</v>
      </c>
      <c r="P147">
        <v>0.0856739494173144</v>
      </c>
      <c r="Q147">
        <v>59.984375</v>
      </c>
      <c r="R147" t="s">
        <v>138</v>
      </c>
      <c r="S147">
        <v>0.9</v>
      </c>
      <c r="T147">
        <v>180</v>
      </c>
      <c r="U147">
        <v>80</v>
      </c>
      <c r="V147">
        <v>0.0148796692576343</v>
      </c>
      <c r="W147">
        <v>82.63221275681353</v>
      </c>
      <c r="X147">
        <v>78.546875</v>
      </c>
      <c r="Y147">
        <v>151.4284217724613</v>
      </c>
      <c r="Z147">
        <v>0.7571421088623063</v>
      </c>
      <c r="AA147">
        <v>0</v>
      </c>
      <c r="AC147">
        <v>186.947296440425</v>
      </c>
      <c r="AD147">
        <v>186.947296440425</v>
      </c>
      <c r="AE147">
        <v>0.156074768070866</v>
      </c>
      <c r="AF147">
        <v>9.836179629585439</v>
      </c>
      <c r="AG147">
        <v>-2.20737400580262E-10</v>
      </c>
      <c r="AH147">
        <v>1.17976174964024E-12</v>
      </c>
      <c r="AI147" t="b">
        <v>1</v>
      </c>
      <c r="AJ147" t="b">
        <v>1</v>
      </c>
      <c r="AK147" t="b">
        <v>1</v>
      </c>
      <c r="AL147">
        <v>0.362533500068821</v>
      </c>
      <c r="AM147" t="b">
        <v>1</v>
      </c>
    </row>
    <row r="148" spans="1:39">
      <c r="A148" t="s">
        <v>146</v>
      </c>
      <c r="B148">
        <v>50</v>
      </c>
      <c r="C148" t="s">
        <v>143</v>
      </c>
      <c r="D148">
        <v>1.875</v>
      </c>
      <c r="E148">
        <v>30</v>
      </c>
      <c r="F148">
        <v>98</v>
      </c>
      <c r="G148">
        <v>10</v>
      </c>
      <c r="H148">
        <v>0.62</v>
      </c>
      <c r="I148">
        <v>50</v>
      </c>
      <c r="J148">
        <v>177.1033712082751</v>
      </c>
      <c r="K148">
        <v>10</v>
      </c>
      <c r="L148">
        <v>187.1033712082751</v>
      </c>
      <c r="M148">
        <v>0</v>
      </c>
      <c r="N148">
        <v>0</v>
      </c>
      <c r="O148">
        <v>1.834375</v>
      </c>
      <c r="P148">
        <v>0.0856739494173144</v>
      </c>
      <c r="Q148">
        <v>59.984375</v>
      </c>
      <c r="R148" t="s">
        <v>139</v>
      </c>
      <c r="S148">
        <v>0.9</v>
      </c>
      <c r="T148">
        <v>180</v>
      </c>
      <c r="U148">
        <v>100</v>
      </c>
      <c r="V148">
        <v>0.0219402108666138</v>
      </c>
      <c r="W148">
        <v>74.39103599655019</v>
      </c>
      <c r="X148">
        <v>76.171875</v>
      </c>
      <c r="Y148">
        <v>137.7613649883793</v>
      </c>
      <c r="Z148">
        <v>0.6888068249418966</v>
      </c>
      <c r="AA148">
        <v>0</v>
      </c>
      <c r="AC148">
        <v>187.0107226924737</v>
      </c>
      <c r="AD148">
        <v>187.0107226924737</v>
      </c>
      <c r="AE148">
        <v>0.0926485163734775</v>
      </c>
      <c r="AF148">
        <v>7.19523750570769</v>
      </c>
      <c r="AG148">
        <v>-5.720061230229945E-10</v>
      </c>
      <c r="AH148">
        <v>3.057166310414914E-12</v>
      </c>
      <c r="AI148" t="b">
        <v>1</v>
      </c>
      <c r="AJ148" t="b">
        <v>1</v>
      </c>
      <c r="AK148" t="b">
        <v>1</v>
      </c>
      <c r="AL148">
        <v>0.3615119579480961</v>
      </c>
      <c r="AM148" t="b">
        <v>1</v>
      </c>
    </row>
    <row r="149" spans="1:39">
      <c r="A149" t="s">
        <v>147</v>
      </c>
      <c r="B149">
        <v>100</v>
      </c>
      <c r="C149" t="s">
        <v>115</v>
      </c>
      <c r="D149">
        <v>1.875</v>
      </c>
      <c r="E149">
        <v>60</v>
      </c>
      <c r="F149">
        <v>98</v>
      </c>
      <c r="G149">
        <v>10</v>
      </c>
      <c r="H149">
        <v>0.62</v>
      </c>
      <c r="I149">
        <v>100</v>
      </c>
      <c r="J149">
        <v>376.1503888716483</v>
      </c>
      <c r="K149">
        <v>20</v>
      </c>
      <c r="L149">
        <v>396.1503888716483</v>
      </c>
      <c r="M149">
        <v>0</v>
      </c>
      <c r="N149">
        <v>0</v>
      </c>
      <c r="O149">
        <v>1.834375</v>
      </c>
      <c r="P149">
        <v>0.1161901666901688</v>
      </c>
      <c r="Q149">
        <v>59.984375</v>
      </c>
      <c r="R149" t="s">
        <v>116</v>
      </c>
      <c r="S149">
        <v>0.15</v>
      </c>
      <c r="T149">
        <v>30</v>
      </c>
      <c r="U149">
        <v>40</v>
      </c>
      <c r="V149">
        <v>0.1161901666901693</v>
      </c>
      <c r="W149">
        <v>-4.662936703425657E-13</v>
      </c>
      <c r="X149">
        <v>59.984375</v>
      </c>
      <c r="Y149">
        <v>30</v>
      </c>
      <c r="Z149">
        <v>0.15</v>
      </c>
      <c r="AA149">
        <v>357.9771085972997</v>
      </c>
      <c r="AB149">
        <v>17.46875</v>
      </c>
      <c r="AC149">
        <v>38.04685525706352</v>
      </c>
      <c r="AD149">
        <v>396.0239638543632</v>
      </c>
      <c r="AE149">
        <v>0.1264250172872761</v>
      </c>
      <c r="AF149">
        <v>37.82474738226978</v>
      </c>
      <c r="AG149">
        <v>-2.232269924462571E-12</v>
      </c>
      <c r="AH149">
        <v>5.634905296497944E-15</v>
      </c>
      <c r="AI149" t="b">
        <v>0</v>
      </c>
      <c r="AJ149" t="b">
        <v>0</v>
      </c>
      <c r="AK149" t="b">
        <v>0</v>
      </c>
      <c r="AL149">
        <v>1.046550249913707</v>
      </c>
      <c r="AM149" t="b">
        <v>0</v>
      </c>
    </row>
    <row r="150" spans="1:39">
      <c r="A150" t="s">
        <v>147</v>
      </c>
      <c r="B150">
        <v>100</v>
      </c>
      <c r="C150" t="s">
        <v>115</v>
      </c>
      <c r="D150">
        <v>1.875</v>
      </c>
      <c r="E150">
        <v>30</v>
      </c>
      <c r="F150">
        <v>98</v>
      </c>
      <c r="G150">
        <v>10</v>
      </c>
      <c r="H150">
        <v>0.62</v>
      </c>
      <c r="I150">
        <v>100</v>
      </c>
      <c r="J150">
        <v>376.1503888716483</v>
      </c>
      <c r="K150">
        <v>20</v>
      </c>
      <c r="L150">
        <v>396.1503888716483</v>
      </c>
      <c r="M150">
        <v>0</v>
      </c>
      <c r="N150">
        <v>0</v>
      </c>
      <c r="O150">
        <v>1.834375</v>
      </c>
      <c r="P150">
        <v>0.1161901666901688</v>
      </c>
      <c r="Q150">
        <v>59.984375</v>
      </c>
      <c r="R150" t="s">
        <v>117</v>
      </c>
      <c r="S150">
        <v>0.15</v>
      </c>
      <c r="T150">
        <v>30</v>
      </c>
      <c r="U150">
        <v>60</v>
      </c>
      <c r="V150">
        <v>0.1161901666901693</v>
      </c>
      <c r="W150">
        <v>-4.662936703425657E-13</v>
      </c>
      <c r="X150">
        <v>59.984375</v>
      </c>
      <c r="Y150">
        <v>30</v>
      </c>
      <c r="Z150">
        <v>0.15</v>
      </c>
      <c r="AA150">
        <v>349.450986089361</v>
      </c>
      <c r="AB150">
        <v>17.5625</v>
      </c>
      <c r="AC150">
        <v>46.48059349364421</v>
      </c>
      <c r="AD150">
        <v>395.9315795830052</v>
      </c>
      <c r="AE150">
        <v>0.2188092886423426</v>
      </c>
      <c r="AF150">
        <v>24.53528928756097</v>
      </c>
      <c r="AG150">
        <v>7.155109837952979E-13</v>
      </c>
      <c r="AH150">
        <v>1.80615999351479E-15</v>
      </c>
      <c r="AI150" t="b">
        <v>0</v>
      </c>
      <c r="AJ150" t="b">
        <v>0</v>
      </c>
      <c r="AK150" t="b">
        <v>0</v>
      </c>
      <c r="AL150">
        <v>0.3525948750320822</v>
      </c>
      <c r="AM150" t="b">
        <v>0</v>
      </c>
    </row>
    <row r="151" spans="1:39">
      <c r="A151" t="s">
        <v>147</v>
      </c>
      <c r="B151">
        <v>100</v>
      </c>
      <c r="C151" t="s">
        <v>115</v>
      </c>
      <c r="D151">
        <v>1.875</v>
      </c>
      <c r="E151">
        <v>30</v>
      </c>
      <c r="F151">
        <v>98</v>
      </c>
      <c r="G151">
        <v>10</v>
      </c>
      <c r="H151">
        <v>0.62</v>
      </c>
      <c r="I151">
        <v>100</v>
      </c>
      <c r="J151">
        <v>376.1503888716483</v>
      </c>
      <c r="K151">
        <v>20</v>
      </c>
      <c r="L151">
        <v>396.1503888716483</v>
      </c>
      <c r="M151">
        <v>0</v>
      </c>
      <c r="N151">
        <v>0</v>
      </c>
      <c r="O151">
        <v>1.834375</v>
      </c>
      <c r="P151">
        <v>0.1161901666901688</v>
      </c>
      <c r="Q151">
        <v>59.984375</v>
      </c>
      <c r="R151" t="s">
        <v>118</v>
      </c>
      <c r="S151">
        <v>0.15</v>
      </c>
      <c r="T151">
        <v>30</v>
      </c>
      <c r="U151">
        <v>80</v>
      </c>
      <c r="V151">
        <v>0.1161901666901693</v>
      </c>
      <c r="W151">
        <v>-4.662936703425657E-13</v>
      </c>
      <c r="X151">
        <v>59.984375</v>
      </c>
      <c r="Y151">
        <v>30</v>
      </c>
      <c r="Z151">
        <v>0.15</v>
      </c>
      <c r="AA151">
        <v>339.010939128396</v>
      </c>
      <c r="AB151">
        <v>17.6875</v>
      </c>
      <c r="AC151">
        <v>57.01413043365161</v>
      </c>
      <c r="AD151">
        <v>396.0250695620476</v>
      </c>
      <c r="AE151">
        <v>0.1253193095665877</v>
      </c>
      <c r="AF151">
        <v>18.27936182555278</v>
      </c>
      <c r="AG151">
        <v>3.403938242385607E-11</v>
      </c>
      <c r="AH151">
        <v>8.592540454348702E-14</v>
      </c>
      <c r="AI151" t="b">
        <v>0</v>
      </c>
      <c r="AJ151" t="b">
        <v>0</v>
      </c>
      <c r="AK151" t="b">
        <v>1</v>
      </c>
      <c r="AL151">
        <v>0.3467575829708949</v>
      </c>
      <c r="AM151" t="b">
        <v>0</v>
      </c>
    </row>
    <row r="152" spans="1:39">
      <c r="A152" t="s">
        <v>147</v>
      </c>
      <c r="B152">
        <v>100</v>
      </c>
      <c r="C152" t="s">
        <v>115</v>
      </c>
      <c r="D152">
        <v>1.875</v>
      </c>
      <c r="E152">
        <v>30</v>
      </c>
      <c r="F152">
        <v>98</v>
      </c>
      <c r="G152">
        <v>10</v>
      </c>
      <c r="H152">
        <v>0.62</v>
      </c>
      <c r="I152">
        <v>100</v>
      </c>
      <c r="J152">
        <v>376.1503888716483</v>
      </c>
      <c r="K152">
        <v>20</v>
      </c>
      <c r="L152">
        <v>396.1503888716483</v>
      </c>
      <c r="M152">
        <v>0</v>
      </c>
      <c r="N152">
        <v>0</v>
      </c>
      <c r="O152">
        <v>1.834375</v>
      </c>
      <c r="P152">
        <v>0.1161901666901688</v>
      </c>
      <c r="Q152">
        <v>59.984375</v>
      </c>
      <c r="R152" t="s">
        <v>119</v>
      </c>
      <c r="S152">
        <v>0.15</v>
      </c>
      <c r="T152">
        <v>30</v>
      </c>
      <c r="U152">
        <v>100</v>
      </c>
      <c r="V152">
        <v>0.1161901666901693</v>
      </c>
      <c r="W152">
        <v>-4.662936703425657E-13</v>
      </c>
      <c r="X152">
        <v>59.984375</v>
      </c>
      <c r="Y152">
        <v>30</v>
      </c>
      <c r="Z152">
        <v>0.15</v>
      </c>
      <c r="AA152">
        <v>327.3215740948855</v>
      </c>
      <c r="AB152">
        <v>17.8125</v>
      </c>
      <c r="AC152">
        <v>68.74719729662323</v>
      </c>
      <c r="AD152">
        <v>396.0687713915086</v>
      </c>
      <c r="AE152">
        <v>0.081617479978426</v>
      </c>
      <c r="AF152">
        <v>14.62463496556842</v>
      </c>
      <c r="AG152">
        <v>1.611585864758069E-10</v>
      </c>
      <c r="AH152">
        <v>4.068116326600955E-13</v>
      </c>
      <c r="AI152" t="b">
        <v>0</v>
      </c>
      <c r="AJ152" t="b">
        <v>0</v>
      </c>
      <c r="AK152" t="b">
        <v>1</v>
      </c>
      <c r="AL152">
        <v>0.3467517920071259</v>
      </c>
      <c r="AM152" t="b">
        <v>0</v>
      </c>
    </row>
    <row r="153" spans="1:39">
      <c r="A153" t="s">
        <v>147</v>
      </c>
      <c r="B153">
        <v>100</v>
      </c>
      <c r="C153" t="s">
        <v>115</v>
      </c>
      <c r="D153">
        <v>1.875</v>
      </c>
      <c r="E153">
        <v>60</v>
      </c>
      <c r="F153">
        <v>98</v>
      </c>
      <c r="G153">
        <v>10</v>
      </c>
      <c r="H153">
        <v>0.62</v>
      </c>
      <c r="I153">
        <v>100</v>
      </c>
      <c r="J153">
        <v>376.1503888716483</v>
      </c>
      <c r="K153">
        <v>20</v>
      </c>
      <c r="L153">
        <v>396.1503888716483</v>
      </c>
      <c r="M153">
        <v>0</v>
      </c>
      <c r="N153">
        <v>0</v>
      </c>
      <c r="O153">
        <v>1.834375</v>
      </c>
      <c r="P153">
        <v>0.1161901666901688</v>
      </c>
      <c r="Q153">
        <v>59.984375</v>
      </c>
      <c r="R153" t="s">
        <v>120</v>
      </c>
      <c r="S153">
        <v>0.3</v>
      </c>
      <c r="T153">
        <v>60</v>
      </c>
      <c r="U153">
        <v>40</v>
      </c>
      <c r="V153">
        <v>0.1161901666901674</v>
      </c>
      <c r="W153">
        <v>1.165734175856414E-12</v>
      </c>
      <c r="X153">
        <v>59.984375</v>
      </c>
      <c r="Y153">
        <v>60</v>
      </c>
      <c r="Z153">
        <v>0.3</v>
      </c>
      <c r="AA153">
        <v>324.7826588954015</v>
      </c>
      <c r="AB153">
        <v>23.15625</v>
      </c>
      <c r="AC153">
        <v>71.22150878853802</v>
      </c>
      <c r="AD153">
        <v>396.0041676839395</v>
      </c>
      <c r="AE153">
        <v>0.1462211877119539</v>
      </c>
      <c r="AF153">
        <v>30.58283864785835</v>
      </c>
      <c r="AG153">
        <v>-3.249622793077833E-12</v>
      </c>
      <c r="AH153">
        <v>8.203002910924071E-15</v>
      </c>
      <c r="AI153" t="b">
        <v>0</v>
      </c>
      <c r="AJ153" t="b">
        <v>0</v>
      </c>
      <c r="AK153" t="b">
        <v>0</v>
      </c>
      <c r="AL153">
        <v>1.030929333996028</v>
      </c>
      <c r="AM153" t="b">
        <v>0</v>
      </c>
    </row>
    <row r="154" spans="1:39">
      <c r="A154" t="s">
        <v>147</v>
      </c>
      <c r="B154">
        <v>100</v>
      </c>
      <c r="C154" t="s">
        <v>115</v>
      </c>
      <c r="D154">
        <v>1.875</v>
      </c>
      <c r="E154">
        <v>30</v>
      </c>
      <c r="F154">
        <v>98</v>
      </c>
      <c r="G154">
        <v>10</v>
      </c>
      <c r="H154">
        <v>0.62</v>
      </c>
      <c r="I154">
        <v>100</v>
      </c>
      <c r="J154">
        <v>376.1503888716483</v>
      </c>
      <c r="K154">
        <v>20</v>
      </c>
      <c r="L154">
        <v>396.1503888716483</v>
      </c>
      <c r="M154">
        <v>0</v>
      </c>
      <c r="N154">
        <v>0</v>
      </c>
      <c r="O154">
        <v>1.834375</v>
      </c>
      <c r="P154">
        <v>0.1161901666901688</v>
      </c>
      <c r="Q154">
        <v>59.984375</v>
      </c>
      <c r="R154" t="s">
        <v>121</v>
      </c>
      <c r="S154">
        <v>0.3</v>
      </c>
      <c r="T154">
        <v>60</v>
      </c>
      <c r="U154">
        <v>60</v>
      </c>
      <c r="V154">
        <v>0.1161901666901674</v>
      </c>
      <c r="W154">
        <v>1.165734175856414E-12</v>
      </c>
      <c r="X154">
        <v>59.984375</v>
      </c>
      <c r="Y154">
        <v>60</v>
      </c>
      <c r="Z154">
        <v>0.3</v>
      </c>
      <c r="AA154">
        <v>312.5417156326034</v>
      </c>
      <c r="AB154">
        <v>23.40625</v>
      </c>
      <c r="AC154">
        <v>83.35971045442459</v>
      </c>
      <c r="AD154">
        <v>395.9014260870281</v>
      </c>
      <c r="AE154">
        <v>0.2489627846394656</v>
      </c>
      <c r="AF154">
        <v>18.79644383381149</v>
      </c>
      <c r="AG154">
        <v>-1.923314285612321E-11</v>
      </c>
      <c r="AH154">
        <v>4.855010469863428E-14</v>
      </c>
      <c r="AI154" t="b">
        <v>0</v>
      </c>
      <c r="AJ154" t="b">
        <v>0</v>
      </c>
      <c r="AK154" t="b">
        <v>1</v>
      </c>
      <c r="AL154">
        <v>0.3512328329961747</v>
      </c>
      <c r="AM154" t="b">
        <v>0</v>
      </c>
    </row>
    <row r="155" spans="1:39">
      <c r="A155" t="s">
        <v>147</v>
      </c>
      <c r="B155">
        <v>100</v>
      </c>
      <c r="C155" t="s">
        <v>115</v>
      </c>
      <c r="D155">
        <v>1.875</v>
      </c>
      <c r="E155">
        <v>30</v>
      </c>
      <c r="F155">
        <v>98</v>
      </c>
      <c r="G155">
        <v>10</v>
      </c>
      <c r="H155">
        <v>0.62</v>
      </c>
      <c r="I155">
        <v>100</v>
      </c>
      <c r="J155">
        <v>376.1503888716483</v>
      </c>
      <c r="K155">
        <v>20</v>
      </c>
      <c r="L155">
        <v>396.1503888716483</v>
      </c>
      <c r="M155">
        <v>0</v>
      </c>
      <c r="N155">
        <v>0</v>
      </c>
      <c r="O155">
        <v>1.834375</v>
      </c>
      <c r="P155">
        <v>0.1161901666901688</v>
      </c>
      <c r="Q155">
        <v>59.984375</v>
      </c>
      <c r="R155" t="s">
        <v>122</v>
      </c>
      <c r="S155">
        <v>0.3</v>
      </c>
      <c r="T155">
        <v>60</v>
      </c>
      <c r="U155">
        <v>80</v>
      </c>
      <c r="V155">
        <v>0.1161901666901674</v>
      </c>
      <c r="W155">
        <v>1.165734175856414E-12</v>
      </c>
      <c r="X155">
        <v>59.984375</v>
      </c>
      <c r="Y155">
        <v>60</v>
      </c>
      <c r="Z155">
        <v>0.3</v>
      </c>
      <c r="AA155">
        <v>296.9742682871101</v>
      </c>
      <c r="AB155">
        <v>23.6875</v>
      </c>
      <c r="AC155">
        <v>99.0412952993434</v>
      </c>
      <c r="AD155">
        <v>396.0155635864534</v>
      </c>
      <c r="AE155">
        <v>0.1348252852343149</v>
      </c>
      <c r="AF155">
        <v>13.6292623972663</v>
      </c>
      <c r="AG155">
        <v>-3.953579130744345E-11</v>
      </c>
      <c r="AH155">
        <v>9.979995581994229E-14</v>
      </c>
      <c r="AI155" t="b">
        <v>0</v>
      </c>
      <c r="AJ155" t="b">
        <v>0</v>
      </c>
      <c r="AK155" t="b">
        <v>1</v>
      </c>
      <c r="AL155">
        <v>0.3512200829572975</v>
      </c>
      <c r="AM155" t="b">
        <v>0</v>
      </c>
    </row>
    <row r="156" spans="1:39">
      <c r="A156" t="s">
        <v>147</v>
      </c>
      <c r="B156">
        <v>100</v>
      </c>
      <c r="C156" t="s">
        <v>115</v>
      </c>
      <c r="D156">
        <v>1.875</v>
      </c>
      <c r="E156">
        <v>30</v>
      </c>
      <c r="F156">
        <v>98</v>
      </c>
      <c r="G156">
        <v>10</v>
      </c>
      <c r="H156">
        <v>0.62</v>
      </c>
      <c r="I156">
        <v>100</v>
      </c>
      <c r="J156">
        <v>376.1503888716483</v>
      </c>
      <c r="K156">
        <v>20</v>
      </c>
      <c r="L156">
        <v>396.1503888716483</v>
      </c>
      <c r="M156">
        <v>0</v>
      </c>
      <c r="N156">
        <v>0</v>
      </c>
      <c r="O156">
        <v>1.834375</v>
      </c>
      <c r="P156">
        <v>0.1161901666901688</v>
      </c>
      <c r="Q156">
        <v>59.984375</v>
      </c>
      <c r="R156" t="s">
        <v>123</v>
      </c>
      <c r="S156">
        <v>0.3</v>
      </c>
      <c r="T156">
        <v>60</v>
      </c>
      <c r="U156">
        <v>100</v>
      </c>
      <c r="V156">
        <v>0.1161901666901674</v>
      </c>
      <c r="W156">
        <v>1.165734175856414E-12</v>
      </c>
      <c r="X156">
        <v>59.984375</v>
      </c>
      <c r="Y156">
        <v>60</v>
      </c>
      <c r="Z156">
        <v>0.3</v>
      </c>
      <c r="AA156">
        <v>278.6317671094083</v>
      </c>
      <c r="AB156">
        <v>24.03125</v>
      </c>
      <c r="AC156">
        <v>117.4330602425348</v>
      </c>
      <c r="AD156">
        <v>396.0648273519431</v>
      </c>
      <c r="AE156">
        <v>0.0855615197085338</v>
      </c>
      <c r="AF156">
        <v>10.73473580771235</v>
      </c>
      <c r="AG156">
        <v>-3.381808721947266E-12</v>
      </c>
      <c r="AH156">
        <v>8.536679041461104E-15</v>
      </c>
      <c r="AI156" t="b">
        <v>0</v>
      </c>
      <c r="AJ156" t="b">
        <v>0</v>
      </c>
      <c r="AK156" t="b">
        <v>1</v>
      </c>
      <c r="AL156">
        <v>0.3433663749601692</v>
      </c>
      <c r="AM156" t="b">
        <v>0</v>
      </c>
    </row>
    <row r="157" spans="1:39">
      <c r="A157" t="s">
        <v>147</v>
      </c>
      <c r="B157">
        <v>100</v>
      </c>
      <c r="C157" t="s">
        <v>115</v>
      </c>
      <c r="D157">
        <v>1.875</v>
      </c>
      <c r="E157">
        <v>30</v>
      </c>
      <c r="F157">
        <v>98</v>
      </c>
      <c r="G157">
        <v>10</v>
      </c>
      <c r="H157">
        <v>0.62</v>
      </c>
      <c r="I157">
        <v>100</v>
      </c>
      <c r="J157">
        <v>376.1503888716483</v>
      </c>
      <c r="K157">
        <v>20</v>
      </c>
      <c r="L157">
        <v>396.1503888716483</v>
      </c>
      <c r="M157">
        <v>0</v>
      </c>
      <c r="N157">
        <v>0</v>
      </c>
      <c r="O157">
        <v>1.834375</v>
      </c>
      <c r="P157">
        <v>0.1161901666901688</v>
      </c>
      <c r="Q157">
        <v>59.984375</v>
      </c>
      <c r="R157" t="s">
        <v>124</v>
      </c>
      <c r="S157">
        <v>0.45</v>
      </c>
      <c r="T157">
        <v>90</v>
      </c>
      <c r="U157">
        <v>40</v>
      </c>
      <c r="V157">
        <v>0.1161901666901712</v>
      </c>
      <c r="W157">
        <v>-2.087219286295294E-12</v>
      </c>
      <c r="X157">
        <v>59.984375</v>
      </c>
      <c r="Y157">
        <v>90</v>
      </c>
      <c r="Z157">
        <v>0.45</v>
      </c>
      <c r="AA157">
        <v>292.6221149367179</v>
      </c>
      <c r="AB157">
        <v>28.125</v>
      </c>
      <c r="AC157">
        <v>102.6530329980022</v>
      </c>
      <c r="AD157">
        <v>395.2751479347202</v>
      </c>
      <c r="AE157">
        <v>0.875240936930383</v>
      </c>
      <c r="AF157">
        <v>28.68226308504558</v>
      </c>
      <c r="AG157">
        <v>-2.288946809869685E-12</v>
      </c>
      <c r="AH157">
        <v>5.777974411155502E-15</v>
      </c>
      <c r="AI157" t="b">
        <v>0</v>
      </c>
      <c r="AJ157" t="b">
        <v>0</v>
      </c>
      <c r="AK157" t="b">
        <v>0</v>
      </c>
      <c r="AL157">
        <v>0.3446330419974401</v>
      </c>
      <c r="AM157" t="b">
        <v>0</v>
      </c>
    </row>
    <row r="158" spans="1:39">
      <c r="A158" t="s">
        <v>147</v>
      </c>
      <c r="B158">
        <v>100</v>
      </c>
      <c r="C158" t="s">
        <v>115</v>
      </c>
      <c r="D158">
        <v>1.875</v>
      </c>
      <c r="E158">
        <v>30</v>
      </c>
      <c r="F158">
        <v>98</v>
      </c>
      <c r="G158">
        <v>10</v>
      </c>
      <c r="H158">
        <v>0.62</v>
      </c>
      <c r="I158">
        <v>100</v>
      </c>
      <c r="J158">
        <v>376.1503888716483</v>
      </c>
      <c r="K158">
        <v>20</v>
      </c>
      <c r="L158">
        <v>396.1503888716483</v>
      </c>
      <c r="M158">
        <v>0</v>
      </c>
      <c r="N158">
        <v>0</v>
      </c>
      <c r="O158">
        <v>1.834375</v>
      </c>
      <c r="P158">
        <v>0.1161901666901688</v>
      </c>
      <c r="Q158">
        <v>59.984375</v>
      </c>
      <c r="R158" t="s">
        <v>125</v>
      </c>
      <c r="S158">
        <v>0.45</v>
      </c>
      <c r="T158">
        <v>90</v>
      </c>
      <c r="U158">
        <v>60</v>
      </c>
      <c r="V158">
        <v>0.1161901666901712</v>
      </c>
      <c r="W158">
        <v>-2.087219286295294E-12</v>
      </c>
      <c r="X158">
        <v>59.984375</v>
      </c>
      <c r="Y158">
        <v>90</v>
      </c>
      <c r="Z158">
        <v>0.45</v>
      </c>
      <c r="AA158">
        <v>277.9889133806954</v>
      </c>
      <c r="AB158">
        <v>28.5</v>
      </c>
      <c r="AC158">
        <v>117.8858190671543</v>
      </c>
      <c r="AD158">
        <v>395.8747324478496</v>
      </c>
      <c r="AE158">
        <v>0.2756564238302655</v>
      </c>
      <c r="AF158">
        <v>16.83065173250053</v>
      </c>
      <c r="AG158">
        <v>-3.16288106816387E-11</v>
      </c>
      <c r="AH158">
        <v>7.984041306062267E-14</v>
      </c>
      <c r="AI158" t="b">
        <v>0</v>
      </c>
      <c r="AJ158" t="b">
        <v>0</v>
      </c>
      <c r="AK158" t="b">
        <v>1</v>
      </c>
      <c r="AL158">
        <v>0.355674457969144</v>
      </c>
      <c r="AM158" t="b">
        <v>0</v>
      </c>
    </row>
    <row r="159" spans="1:39">
      <c r="A159" t="s">
        <v>147</v>
      </c>
      <c r="B159">
        <v>100</v>
      </c>
      <c r="C159" t="s">
        <v>115</v>
      </c>
      <c r="D159">
        <v>1.875</v>
      </c>
      <c r="E159">
        <v>30</v>
      </c>
      <c r="F159">
        <v>98</v>
      </c>
      <c r="G159">
        <v>10</v>
      </c>
      <c r="H159">
        <v>0.62</v>
      </c>
      <c r="I159">
        <v>100</v>
      </c>
      <c r="J159">
        <v>376.1503888716483</v>
      </c>
      <c r="K159">
        <v>20</v>
      </c>
      <c r="L159">
        <v>396.1503888716483</v>
      </c>
      <c r="M159">
        <v>0</v>
      </c>
      <c r="N159">
        <v>0</v>
      </c>
      <c r="O159">
        <v>1.834375</v>
      </c>
      <c r="P159">
        <v>0.1161901666901688</v>
      </c>
      <c r="Q159">
        <v>59.984375</v>
      </c>
      <c r="R159" t="s">
        <v>126</v>
      </c>
      <c r="S159">
        <v>0.45</v>
      </c>
      <c r="T159">
        <v>90</v>
      </c>
      <c r="U159">
        <v>80</v>
      </c>
      <c r="V159">
        <v>0.1161901666901712</v>
      </c>
      <c r="W159">
        <v>-2.087219286295294E-12</v>
      </c>
      <c r="X159">
        <v>59.984375</v>
      </c>
      <c r="Y159">
        <v>90</v>
      </c>
      <c r="Z159">
        <v>0.45</v>
      </c>
      <c r="AA159">
        <v>259.2680512932179</v>
      </c>
      <c r="AB159">
        <v>28.96875</v>
      </c>
      <c r="AC159">
        <v>136.7397870993425</v>
      </c>
      <c r="AD159">
        <v>396.0078383925604</v>
      </c>
      <c r="AE159">
        <v>0.1425504791958016</v>
      </c>
      <c r="AF159">
        <v>11.88998584160916</v>
      </c>
      <c r="AG159">
        <v>-1.078998834724842E-10</v>
      </c>
      <c r="AH159">
        <v>2.723710149062697E-13</v>
      </c>
      <c r="AI159" t="b">
        <v>0</v>
      </c>
      <c r="AJ159" t="b">
        <v>0</v>
      </c>
      <c r="AK159" t="b">
        <v>1</v>
      </c>
      <c r="AL159">
        <v>0.3558831249829381</v>
      </c>
      <c r="AM159" t="b">
        <v>0</v>
      </c>
    </row>
    <row r="160" spans="1:39">
      <c r="A160" t="s">
        <v>147</v>
      </c>
      <c r="B160">
        <v>100</v>
      </c>
      <c r="C160" t="s">
        <v>115</v>
      </c>
      <c r="D160">
        <v>1.875</v>
      </c>
      <c r="E160">
        <v>30</v>
      </c>
      <c r="F160">
        <v>98</v>
      </c>
      <c r="G160">
        <v>10</v>
      </c>
      <c r="H160">
        <v>0.62</v>
      </c>
      <c r="I160">
        <v>100</v>
      </c>
      <c r="J160">
        <v>376.1503888716483</v>
      </c>
      <c r="K160">
        <v>20</v>
      </c>
      <c r="L160">
        <v>396.1503888716483</v>
      </c>
      <c r="M160">
        <v>0</v>
      </c>
      <c r="N160">
        <v>0</v>
      </c>
      <c r="O160">
        <v>1.834375</v>
      </c>
      <c r="P160">
        <v>0.1161901666901688</v>
      </c>
      <c r="Q160">
        <v>59.984375</v>
      </c>
      <c r="R160" t="s">
        <v>127</v>
      </c>
      <c r="S160">
        <v>0.45</v>
      </c>
      <c r="T160">
        <v>90</v>
      </c>
      <c r="U160">
        <v>100</v>
      </c>
      <c r="V160">
        <v>0.1161901666901712</v>
      </c>
      <c r="W160">
        <v>-2.087219286295294E-12</v>
      </c>
      <c r="X160">
        <v>59.984375</v>
      </c>
      <c r="Y160">
        <v>90</v>
      </c>
      <c r="Z160">
        <v>0.45</v>
      </c>
      <c r="AA160">
        <v>237.066872148732</v>
      </c>
      <c r="AB160">
        <v>29.625</v>
      </c>
      <c r="AC160">
        <v>158.9948837812943</v>
      </c>
      <c r="AD160">
        <v>396.0617559300263</v>
      </c>
      <c r="AE160">
        <v>0.08863294185008749</v>
      </c>
      <c r="AF160">
        <v>9.213953221664513</v>
      </c>
      <c r="AG160">
        <v>-2.281493188815986E-10</v>
      </c>
      <c r="AH160">
        <v>5.759159281186984E-13</v>
      </c>
      <c r="AI160" t="b">
        <v>0</v>
      </c>
      <c r="AJ160" t="b">
        <v>0</v>
      </c>
      <c r="AK160" t="b">
        <v>1</v>
      </c>
      <c r="AL160">
        <v>0.348983958014287</v>
      </c>
      <c r="AM160" t="b">
        <v>0</v>
      </c>
    </row>
    <row r="161" spans="1:39">
      <c r="A161" t="s">
        <v>147</v>
      </c>
      <c r="B161">
        <v>100</v>
      </c>
      <c r="C161" t="s">
        <v>115</v>
      </c>
      <c r="D161">
        <v>1.875</v>
      </c>
      <c r="E161">
        <v>30</v>
      </c>
      <c r="F161">
        <v>98</v>
      </c>
      <c r="G161">
        <v>10</v>
      </c>
      <c r="H161">
        <v>0.62</v>
      </c>
      <c r="I161">
        <v>100</v>
      </c>
      <c r="J161">
        <v>376.1503888716483</v>
      </c>
      <c r="K161">
        <v>20</v>
      </c>
      <c r="L161">
        <v>396.1503888716483</v>
      </c>
      <c r="M161">
        <v>0</v>
      </c>
      <c r="N161">
        <v>0</v>
      </c>
      <c r="O161">
        <v>1.834375</v>
      </c>
      <c r="P161">
        <v>0.1161901666901688</v>
      </c>
      <c r="Q161">
        <v>59.984375</v>
      </c>
      <c r="R161" t="s">
        <v>128</v>
      </c>
      <c r="S161">
        <v>0.6</v>
      </c>
      <c r="T161">
        <v>120</v>
      </c>
      <c r="U161">
        <v>40</v>
      </c>
      <c r="V161">
        <v>0.1161901666901712</v>
      </c>
      <c r="W161">
        <v>-2.087219286295294E-12</v>
      </c>
      <c r="X161">
        <v>59.984375</v>
      </c>
      <c r="Y161">
        <v>120</v>
      </c>
      <c r="Z161">
        <v>0.6</v>
      </c>
      <c r="AA161">
        <v>260.9810627869659</v>
      </c>
      <c r="AB161">
        <v>32.8125</v>
      </c>
      <c r="AC161">
        <v>134.0490289955072</v>
      </c>
      <c r="AD161">
        <v>395.0300917824731</v>
      </c>
      <c r="AE161">
        <v>1.120297089179581</v>
      </c>
      <c r="AF161">
        <v>28.31506714847811</v>
      </c>
      <c r="AG161">
        <v>-4.427347377600199E-12</v>
      </c>
      <c r="AH161">
        <v>1.117592586545371E-14</v>
      </c>
      <c r="AI161" t="b">
        <v>0</v>
      </c>
      <c r="AJ161" t="b">
        <v>0</v>
      </c>
      <c r="AK161" t="b">
        <v>0</v>
      </c>
      <c r="AL161">
        <v>0.359853082918562</v>
      </c>
      <c r="AM161" t="b">
        <v>0</v>
      </c>
    </row>
    <row r="162" spans="1:39">
      <c r="A162" t="s">
        <v>147</v>
      </c>
      <c r="B162">
        <v>100</v>
      </c>
      <c r="C162" t="s">
        <v>115</v>
      </c>
      <c r="D162">
        <v>1.875</v>
      </c>
      <c r="E162">
        <v>30</v>
      </c>
      <c r="F162">
        <v>98</v>
      </c>
      <c r="G162">
        <v>10</v>
      </c>
      <c r="H162">
        <v>0.62</v>
      </c>
      <c r="I162">
        <v>100</v>
      </c>
      <c r="J162">
        <v>376.1503888716483</v>
      </c>
      <c r="K162">
        <v>20</v>
      </c>
      <c r="L162">
        <v>396.1503888716483</v>
      </c>
      <c r="M162">
        <v>0</v>
      </c>
      <c r="N162">
        <v>0</v>
      </c>
      <c r="O162">
        <v>1.834375</v>
      </c>
      <c r="P162">
        <v>0.1161901666901688</v>
      </c>
      <c r="Q162">
        <v>59.984375</v>
      </c>
      <c r="R162" t="s">
        <v>129</v>
      </c>
      <c r="S162">
        <v>0.6</v>
      </c>
      <c r="T162">
        <v>120</v>
      </c>
      <c r="U162">
        <v>60</v>
      </c>
      <c r="V162">
        <v>0.1161901666901712</v>
      </c>
      <c r="W162">
        <v>-2.087219286295294E-12</v>
      </c>
      <c r="X162">
        <v>59.984375</v>
      </c>
      <c r="Y162">
        <v>120</v>
      </c>
      <c r="Z162">
        <v>0.6</v>
      </c>
      <c r="AA162">
        <v>244.5887613412956</v>
      </c>
      <c r="AB162">
        <v>33.34375</v>
      </c>
      <c r="AC162">
        <v>151.2602814229136</v>
      </c>
      <c r="AD162">
        <v>395.8490427642092</v>
      </c>
      <c r="AE162">
        <v>0.3013461074797218</v>
      </c>
      <c r="AF162">
        <v>15.99751488485889</v>
      </c>
      <c r="AG162">
        <v>-4.057743030472238E-11</v>
      </c>
      <c r="AH162">
        <v>1.024293587601889E-13</v>
      </c>
      <c r="AI162" t="b">
        <v>0</v>
      </c>
      <c r="AJ162" t="b">
        <v>0</v>
      </c>
      <c r="AK162" t="b">
        <v>1</v>
      </c>
      <c r="AL162">
        <v>0.3486686249962076</v>
      </c>
      <c r="AM162" t="b">
        <v>0</v>
      </c>
    </row>
    <row r="163" spans="1:39">
      <c r="A163" t="s">
        <v>147</v>
      </c>
      <c r="B163">
        <v>100</v>
      </c>
      <c r="C163" t="s">
        <v>115</v>
      </c>
      <c r="D163">
        <v>1.875</v>
      </c>
      <c r="E163">
        <v>30</v>
      </c>
      <c r="F163">
        <v>98</v>
      </c>
      <c r="G163">
        <v>10</v>
      </c>
      <c r="H163">
        <v>0.62</v>
      </c>
      <c r="I163">
        <v>100</v>
      </c>
      <c r="J163">
        <v>376.1503888716483</v>
      </c>
      <c r="K163">
        <v>20</v>
      </c>
      <c r="L163">
        <v>396.1503888716483</v>
      </c>
      <c r="M163">
        <v>0</v>
      </c>
      <c r="N163">
        <v>0</v>
      </c>
      <c r="O163">
        <v>1.834375</v>
      </c>
      <c r="P163">
        <v>0.1161901666901688</v>
      </c>
      <c r="Q163">
        <v>59.984375</v>
      </c>
      <c r="R163" t="s">
        <v>130</v>
      </c>
      <c r="S163">
        <v>0.6</v>
      </c>
      <c r="T163">
        <v>120</v>
      </c>
      <c r="U163">
        <v>80</v>
      </c>
      <c r="V163">
        <v>0.1161901666901712</v>
      </c>
      <c r="W163">
        <v>-2.087219286295294E-12</v>
      </c>
      <c r="X163">
        <v>59.984375</v>
      </c>
      <c r="Y163">
        <v>120</v>
      </c>
      <c r="Z163">
        <v>0.6</v>
      </c>
      <c r="AA163">
        <v>223.6162031228755</v>
      </c>
      <c r="AB163">
        <v>34.0625</v>
      </c>
      <c r="AC163">
        <v>172.3846913814229</v>
      </c>
      <c r="AD163">
        <v>396.0008945042985</v>
      </c>
      <c r="AE163">
        <v>0.149494367505975</v>
      </c>
      <c r="AF163">
        <v>11.04244754016815</v>
      </c>
      <c r="AG163">
        <v>-1.561722695608836E-10</v>
      </c>
      <c r="AH163">
        <v>3.942247034155583E-13</v>
      </c>
      <c r="AI163" t="b">
        <v>0</v>
      </c>
      <c r="AJ163" t="b">
        <v>0</v>
      </c>
      <c r="AK163" t="b">
        <v>1</v>
      </c>
      <c r="AL163">
        <v>0.3515055000316351</v>
      </c>
      <c r="AM163" t="b">
        <v>0</v>
      </c>
    </row>
    <row r="164" spans="1:39">
      <c r="A164" t="s">
        <v>147</v>
      </c>
      <c r="B164">
        <v>100</v>
      </c>
      <c r="C164" t="s">
        <v>115</v>
      </c>
      <c r="D164">
        <v>1.875</v>
      </c>
      <c r="E164">
        <v>30</v>
      </c>
      <c r="F164">
        <v>98</v>
      </c>
      <c r="G164">
        <v>10</v>
      </c>
      <c r="H164">
        <v>0.62</v>
      </c>
      <c r="I164">
        <v>100</v>
      </c>
      <c r="J164">
        <v>376.1503888716483</v>
      </c>
      <c r="K164">
        <v>20</v>
      </c>
      <c r="L164">
        <v>396.1503888716483</v>
      </c>
      <c r="M164">
        <v>0</v>
      </c>
      <c r="N164">
        <v>0</v>
      </c>
      <c r="O164">
        <v>1.834375</v>
      </c>
      <c r="P164">
        <v>0.1161901666901688</v>
      </c>
      <c r="Q164">
        <v>59.984375</v>
      </c>
      <c r="R164" t="s">
        <v>131</v>
      </c>
      <c r="S164">
        <v>0.6</v>
      </c>
      <c r="T164">
        <v>120</v>
      </c>
      <c r="U164">
        <v>100</v>
      </c>
      <c r="V164">
        <v>0.1161901666901712</v>
      </c>
      <c r="W164">
        <v>-2.109423746787798E-12</v>
      </c>
      <c r="X164">
        <v>59.984375</v>
      </c>
      <c r="Y164">
        <v>120</v>
      </c>
      <c r="Z164">
        <v>0.6</v>
      </c>
      <c r="AA164">
        <v>198.7637830801358</v>
      </c>
      <c r="AB164">
        <v>35.03125</v>
      </c>
      <c r="AC164">
        <v>197.2952952253346</v>
      </c>
      <c r="AD164">
        <v>396.0590783054705</v>
      </c>
      <c r="AE164">
        <v>0.0913105665879151</v>
      </c>
      <c r="AF164">
        <v>8.427495917474589</v>
      </c>
      <c r="AG164">
        <v>-4.101615574958473E-10</v>
      </c>
      <c r="AH164">
        <v>1.035368307132316E-12</v>
      </c>
      <c r="AI164" t="b">
        <v>0</v>
      </c>
      <c r="AJ164" t="b">
        <v>0</v>
      </c>
      <c r="AK164" t="b">
        <v>1</v>
      </c>
      <c r="AL164">
        <v>0.3545789580093696</v>
      </c>
      <c r="AM164" t="b">
        <v>0</v>
      </c>
    </row>
    <row r="165" spans="1:39">
      <c r="A165" t="s">
        <v>147</v>
      </c>
      <c r="B165">
        <v>100</v>
      </c>
      <c r="C165" t="s">
        <v>115</v>
      </c>
      <c r="D165">
        <v>1.875</v>
      </c>
      <c r="E165">
        <v>30</v>
      </c>
      <c r="F165">
        <v>98</v>
      </c>
      <c r="G165">
        <v>10</v>
      </c>
      <c r="H165">
        <v>0.62</v>
      </c>
      <c r="I165">
        <v>100</v>
      </c>
      <c r="J165">
        <v>376.1503888716483</v>
      </c>
      <c r="K165">
        <v>20</v>
      </c>
      <c r="L165">
        <v>396.1503888716483</v>
      </c>
      <c r="M165">
        <v>0</v>
      </c>
      <c r="N165">
        <v>0</v>
      </c>
      <c r="O165">
        <v>1.834375</v>
      </c>
      <c r="P165">
        <v>0.1161901666901688</v>
      </c>
      <c r="Q165">
        <v>59.984375</v>
      </c>
      <c r="R165" t="s">
        <v>132</v>
      </c>
      <c r="S165">
        <v>0.75</v>
      </c>
      <c r="T165">
        <v>150</v>
      </c>
      <c r="U165">
        <v>40</v>
      </c>
      <c r="V165">
        <v>0.1161901666901637</v>
      </c>
      <c r="W165">
        <v>4.429789868254375E-12</v>
      </c>
      <c r="X165">
        <v>59.984375</v>
      </c>
      <c r="Y165">
        <v>150</v>
      </c>
      <c r="Z165">
        <v>0.75</v>
      </c>
      <c r="AA165">
        <v>229.6745773206488</v>
      </c>
      <c r="AB165">
        <v>37.40625</v>
      </c>
      <c r="AC165">
        <v>165.0445535466952</v>
      </c>
      <c r="AD165">
        <v>394.719130867344</v>
      </c>
      <c r="AE165">
        <v>1.431258004311873</v>
      </c>
      <c r="AF165">
        <v>28.58412650218907</v>
      </c>
      <c r="AG165">
        <v>-7.619016528792599E-12</v>
      </c>
      <c r="AH165">
        <v>1.92326367531628E-14</v>
      </c>
      <c r="AI165" t="b">
        <v>0</v>
      </c>
      <c r="AJ165" t="b">
        <v>0</v>
      </c>
      <c r="AK165" t="b">
        <v>0</v>
      </c>
      <c r="AL165">
        <v>0.3592815410811454</v>
      </c>
      <c r="AM165" t="b">
        <v>0</v>
      </c>
    </row>
    <row r="166" spans="1:39">
      <c r="A166" t="s">
        <v>147</v>
      </c>
      <c r="B166">
        <v>100</v>
      </c>
      <c r="C166" t="s">
        <v>115</v>
      </c>
      <c r="D166">
        <v>1.875</v>
      </c>
      <c r="E166">
        <v>30</v>
      </c>
      <c r="F166">
        <v>98</v>
      </c>
      <c r="G166">
        <v>10</v>
      </c>
      <c r="H166">
        <v>0.62</v>
      </c>
      <c r="I166">
        <v>100</v>
      </c>
      <c r="J166">
        <v>376.1503888716483</v>
      </c>
      <c r="K166">
        <v>20</v>
      </c>
      <c r="L166">
        <v>396.1503888716483</v>
      </c>
      <c r="M166">
        <v>0</v>
      </c>
      <c r="N166">
        <v>0</v>
      </c>
      <c r="O166">
        <v>1.834375</v>
      </c>
      <c r="P166">
        <v>0.1161901666901688</v>
      </c>
      <c r="Q166">
        <v>59.984375</v>
      </c>
      <c r="R166" t="s">
        <v>133</v>
      </c>
      <c r="S166">
        <v>0.75</v>
      </c>
      <c r="T166">
        <v>150</v>
      </c>
      <c r="U166">
        <v>60</v>
      </c>
      <c r="V166">
        <v>0.1161901666901637</v>
      </c>
      <c r="W166">
        <v>4.429789868254375E-12</v>
      </c>
      <c r="X166">
        <v>59.984375</v>
      </c>
      <c r="Y166">
        <v>150</v>
      </c>
      <c r="Z166">
        <v>0.75</v>
      </c>
      <c r="AA166">
        <v>211.9265964144885</v>
      </c>
      <c r="AB166">
        <v>38.09375</v>
      </c>
      <c r="AC166">
        <v>183.8968661218573</v>
      </c>
      <c r="AD166">
        <v>395.8234625363458</v>
      </c>
      <c r="AE166">
        <v>0.3269263353506788</v>
      </c>
      <c r="AF166">
        <v>15.65902444706624</v>
      </c>
      <c r="AG166">
        <v>-4.821898436091487E-11</v>
      </c>
      <c r="AH166">
        <v>1.21718886855713E-13</v>
      </c>
      <c r="AI166" t="b">
        <v>0</v>
      </c>
      <c r="AJ166" t="b">
        <v>0</v>
      </c>
      <c r="AK166" t="b">
        <v>1</v>
      </c>
      <c r="AL166">
        <v>0.3770952919730916</v>
      </c>
      <c r="AM166" t="b">
        <v>0</v>
      </c>
    </row>
    <row r="167" spans="1:39">
      <c r="A167" t="s">
        <v>147</v>
      </c>
      <c r="B167">
        <v>100</v>
      </c>
      <c r="C167" t="s">
        <v>115</v>
      </c>
      <c r="D167">
        <v>1.875</v>
      </c>
      <c r="E167">
        <v>30</v>
      </c>
      <c r="F167">
        <v>98</v>
      </c>
      <c r="G167">
        <v>10</v>
      </c>
      <c r="H167">
        <v>0.62</v>
      </c>
      <c r="I167">
        <v>100</v>
      </c>
      <c r="J167">
        <v>376.1503888716483</v>
      </c>
      <c r="K167">
        <v>20</v>
      </c>
      <c r="L167">
        <v>396.1503888716483</v>
      </c>
      <c r="M167">
        <v>0</v>
      </c>
      <c r="N167">
        <v>0</v>
      </c>
      <c r="O167">
        <v>1.834375</v>
      </c>
      <c r="P167">
        <v>0.1161901666901688</v>
      </c>
      <c r="Q167">
        <v>59.984375</v>
      </c>
      <c r="R167" t="s">
        <v>134</v>
      </c>
      <c r="S167">
        <v>0.75</v>
      </c>
      <c r="T167">
        <v>150</v>
      </c>
      <c r="U167">
        <v>80</v>
      </c>
      <c r="V167">
        <v>0.1161901666901637</v>
      </c>
      <c r="W167">
        <v>4.429789868254375E-12</v>
      </c>
      <c r="X167">
        <v>59.984375</v>
      </c>
      <c r="Y167">
        <v>150</v>
      </c>
      <c r="Z167">
        <v>0.75</v>
      </c>
      <c r="AA167">
        <v>189.2723396753241</v>
      </c>
      <c r="AB167">
        <v>39.09375</v>
      </c>
      <c r="AC167">
        <v>206.7220525901115</v>
      </c>
      <c r="AD167">
        <v>395.9943922654357</v>
      </c>
      <c r="AE167">
        <v>0.1559966064147022</v>
      </c>
      <c r="AF167">
        <v>10.59279795059877</v>
      </c>
      <c r="AG167">
        <v>-2.020203726527114E-10</v>
      </c>
      <c r="AH167">
        <v>5.09958789206605E-13</v>
      </c>
      <c r="AI167" t="b">
        <v>0</v>
      </c>
      <c r="AJ167" t="b">
        <v>0</v>
      </c>
      <c r="AK167" t="b">
        <v>1</v>
      </c>
      <c r="AL167">
        <v>0.3609280000673607</v>
      </c>
      <c r="AM167" t="b">
        <v>0</v>
      </c>
    </row>
    <row r="168" spans="1:39">
      <c r="A168" t="s">
        <v>147</v>
      </c>
      <c r="B168">
        <v>100</v>
      </c>
      <c r="C168" t="s">
        <v>115</v>
      </c>
      <c r="D168">
        <v>1.875</v>
      </c>
      <c r="E168">
        <v>30</v>
      </c>
      <c r="F168">
        <v>98</v>
      </c>
      <c r="G168">
        <v>10</v>
      </c>
      <c r="H168">
        <v>0.62</v>
      </c>
      <c r="I168">
        <v>100</v>
      </c>
      <c r="J168">
        <v>376.1503888716483</v>
      </c>
      <c r="K168">
        <v>20</v>
      </c>
      <c r="L168">
        <v>396.1503888716483</v>
      </c>
      <c r="M168">
        <v>0</v>
      </c>
      <c r="N168">
        <v>0</v>
      </c>
      <c r="O168">
        <v>1.834375</v>
      </c>
      <c r="P168">
        <v>0.1161901666901688</v>
      </c>
      <c r="Q168">
        <v>59.984375</v>
      </c>
      <c r="R168" t="s">
        <v>135</v>
      </c>
      <c r="S168">
        <v>0.75</v>
      </c>
      <c r="T168">
        <v>150</v>
      </c>
      <c r="U168">
        <v>100</v>
      </c>
      <c r="V168">
        <v>0.1161901666901636</v>
      </c>
      <c r="W168">
        <v>4.440892098500626E-12</v>
      </c>
      <c r="X168">
        <v>59.984375</v>
      </c>
      <c r="Y168">
        <v>150</v>
      </c>
      <c r="Z168">
        <v>0.75</v>
      </c>
      <c r="AA168">
        <v>162.5261431093715</v>
      </c>
      <c r="AB168">
        <v>40.46875</v>
      </c>
      <c r="AC168">
        <v>233.5304924938129</v>
      </c>
      <c r="AD168">
        <v>396.0566356031844</v>
      </c>
      <c r="AE168">
        <v>0.09375326901472129</v>
      </c>
      <c r="AF168">
        <v>7.972646288783701</v>
      </c>
      <c r="AG168">
        <v>-5.508786066199534E-10</v>
      </c>
      <c r="AH168">
        <v>1.39057949227064E-12</v>
      </c>
      <c r="AI168" t="b">
        <v>0</v>
      </c>
      <c r="AJ168" t="b">
        <v>0</v>
      </c>
      <c r="AK168" t="b">
        <v>1</v>
      </c>
      <c r="AL168">
        <v>0.3522348330589011</v>
      </c>
      <c r="AM168" t="b">
        <v>0</v>
      </c>
    </row>
    <row r="169" spans="1:39">
      <c r="A169" t="s">
        <v>147</v>
      </c>
      <c r="B169">
        <v>100</v>
      </c>
      <c r="C169" t="s">
        <v>115</v>
      </c>
      <c r="D169">
        <v>1.875</v>
      </c>
      <c r="E169">
        <v>60</v>
      </c>
      <c r="F169">
        <v>98</v>
      </c>
      <c r="G169">
        <v>10</v>
      </c>
      <c r="H169">
        <v>0.62</v>
      </c>
      <c r="I169">
        <v>100</v>
      </c>
      <c r="J169">
        <v>376.1503888716483</v>
      </c>
      <c r="K169">
        <v>20</v>
      </c>
      <c r="L169">
        <v>396.1503888716483</v>
      </c>
      <c r="M169">
        <v>0</v>
      </c>
      <c r="N169">
        <v>0</v>
      </c>
      <c r="O169">
        <v>1.834375</v>
      </c>
      <c r="P169">
        <v>0.1161901666901688</v>
      </c>
      <c r="Q169">
        <v>59.984375</v>
      </c>
      <c r="R169" t="s">
        <v>136</v>
      </c>
      <c r="S169">
        <v>0.9</v>
      </c>
      <c r="T169">
        <v>180</v>
      </c>
      <c r="U169">
        <v>40</v>
      </c>
      <c r="V169">
        <v>0.1161901666901637</v>
      </c>
      <c r="W169">
        <v>4.429789868254375E-12</v>
      </c>
      <c r="X169">
        <v>59.984375</v>
      </c>
      <c r="Y169">
        <v>180</v>
      </c>
      <c r="Z169">
        <v>0.9</v>
      </c>
      <c r="AA169">
        <v>198.61105427146</v>
      </c>
      <c r="AB169">
        <v>41.9375</v>
      </c>
      <c r="AC169">
        <v>197.3200616570526</v>
      </c>
      <c r="AD169">
        <v>395.9311159285126</v>
      </c>
      <c r="AE169">
        <v>0.2192729431408086</v>
      </c>
      <c r="AF169">
        <v>29.16537171119696</v>
      </c>
      <c r="AG169">
        <v>-5.158956595252562E-12</v>
      </c>
      <c r="AH169">
        <v>1.302272253208377E-14</v>
      </c>
      <c r="AI169" t="b">
        <v>0</v>
      </c>
      <c r="AJ169" t="b">
        <v>0</v>
      </c>
      <c r="AK169" t="b">
        <v>0</v>
      </c>
      <c r="AL169">
        <v>1.043367958045565</v>
      </c>
      <c r="AM169" t="b">
        <v>0</v>
      </c>
    </row>
    <row r="170" spans="1:39">
      <c r="A170" t="s">
        <v>147</v>
      </c>
      <c r="B170">
        <v>100</v>
      </c>
      <c r="C170" t="s">
        <v>115</v>
      </c>
      <c r="D170">
        <v>1.875</v>
      </c>
      <c r="E170">
        <v>30</v>
      </c>
      <c r="F170">
        <v>98</v>
      </c>
      <c r="G170">
        <v>10</v>
      </c>
      <c r="H170">
        <v>0.62</v>
      </c>
      <c r="I170">
        <v>100</v>
      </c>
      <c r="J170">
        <v>376.1503888716483</v>
      </c>
      <c r="K170">
        <v>20</v>
      </c>
      <c r="L170">
        <v>396.1503888716483</v>
      </c>
      <c r="M170">
        <v>0</v>
      </c>
      <c r="N170">
        <v>0</v>
      </c>
      <c r="O170">
        <v>1.834375</v>
      </c>
      <c r="P170">
        <v>0.1161901666901688</v>
      </c>
      <c r="Q170">
        <v>59.984375</v>
      </c>
      <c r="R170" t="s">
        <v>137</v>
      </c>
      <c r="S170">
        <v>0.9</v>
      </c>
      <c r="T170">
        <v>180</v>
      </c>
      <c r="U170">
        <v>60</v>
      </c>
      <c r="V170">
        <v>0.1161901666901637</v>
      </c>
      <c r="W170">
        <v>4.429789868254375E-12</v>
      </c>
      <c r="X170">
        <v>59.984375</v>
      </c>
      <c r="Y170">
        <v>180</v>
      </c>
      <c r="Z170">
        <v>0.9</v>
      </c>
      <c r="AA170">
        <v>179.7993364116772</v>
      </c>
      <c r="AB170">
        <v>42.84375</v>
      </c>
      <c r="AC170">
        <v>215.9981792842771</v>
      </c>
      <c r="AD170">
        <v>395.7975156959543</v>
      </c>
      <c r="AE170">
        <v>0.3528731757479703</v>
      </c>
      <c r="AF170">
        <v>15.57867785126518</v>
      </c>
      <c r="AG170">
        <v>-5.406930458917714E-11</v>
      </c>
      <c r="AH170">
        <v>1.364868143716387E-13</v>
      </c>
      <c r="AI170" t="b">
        <v>0</v>
      </c>
      <c r="AJ170" t="b">
        <v>0</v>
      </c>
      <c r="AK170" t="b">
        <v>1</v>
      </c>
      <c r="AL170">
        <v>0.3555269580101594</v>
      </c>
      <c r="AM170" t="b">
        <v>0</v>
      </c>
    </row>
    <row r="171" spans="1:39">
      <c r="A171" t="s">
        <v>147</v>
      </c>
      <c r="B171">
        <v>100</v>
      </c>
      <c r="C171" t="s">
        <v>115</v>
      </c>
      <c r="D171">
        <v>1.875</v>
      </c>
      <c r="E171">
        <v>30</v>
      </c>
      <c r="F171">
        <v>98</v>
      </c>
      <c r="G171">
        <v>10</v>
      </c>
      <c r="H171">
        <v>0.62</v>
      </c>
      <c r="I171">
        <v>100</v>
      </c>
      <c r="J171">
        <v>376.1503888716483</v>
      </c>
      <c r="K171">
        <v>20</v>
      </c>
      <c r="L171">
        <v>396.1503888716483</v>
      </c>
      <c r="M171">
        <v>0</v>
      </c>
      <c r="N171">
        <v>0</v>
      </c>
      <c r="O171">
        <v>1.834375</v>
      </c>
      <c r="P171">
        <v>0.1161901666901688</v>
      </c>
      <c r="Q171">
        <v>59.984375</v>
      </c>
      <c r="R171" t="s">
        <v>138</v>
      </c>
      <c r="S171">
        <v>0.9</v>
      </c>
      <c r="T171">
        <v>180</v>
      </c>
      <c r="U171">
        <v>80</v>
      </c>
      <c r="V171">
        <v>0.1161901666901637</v>
      </c>
      <c r="W171">
        <v>4.429789868254375E-12</v>
      </c>
      <c r="X171">
        <v>59.984375</v>
      </c>
      <c r="Y171">
        <v>180</v>
      </c>
      <c r="Z171">
        <v>0.9</v>
      </c>
      <c r="AA171">
        <v>155.8785919314252</v>
      </c>
      <c r="AB171">
        <v>44.15625</v>
      </c>
      <c r="AC171">
        <v>240.1095747691506</v>
      </c>
      <c r="AD171">
        <v>395.9881667005758</v>
      </c>
      <c r="AE171">
        <v>0.1622221712950404</v>
      </c>
      <c r="AF171">
        <v>10.35579095877782</v>
      </c>
      <c r="AG171">
        <v>-2.225688522372593E-10</v>
      </c>
      <c r="AH171">
        <v>5.618291903516749E-13</v>
      </c>
      <c r="AI171" t="b">
        <v>0</v>
      </c>
      <c r="AJ171" t="b">
        <v>0</v>
      </c>
      <c r="AK171" t="b">
        <v>1</v>
      </c>
      <c r="AL171">
        <v>0.3606291670585051</v>
      </c>
      <c r="AM171" t="b">
        <v>0</v>
      </c>
    </row>
    <row r="172" spans="1:39">
      <c r="A172" t="s">
        <v>147</v>
      </c>
      <c r="B172">
        <v>100</v>
      </c>
      <c r="C172" t="s">
        <v>115</v>
      </c>
      <c r="D172">
        <v>1.875</v>
      </c>
      <c r="E172">
        <v>30</v>
      </c>
      <c r="F172">
        <v>98</v>
      </c>
      <c r="G172">
        <v>10</v>
      </c>
      <c r="H172">
        <v>0.62</v>
      </c>
      <c r="I172">
        <v>100</v>
      </c>
      <c r="J172">
        <v>376.1503888716483</v>
      </c>
      <c r="K172">
        <v>20</v>
      </c>
      <c r="L172">
        <v>396.1503888716483</v>
      </c>
      <c r="M172">
        <v>0</v>
      </c>
      <c r="N172">
        <v>0</v>
      </c>
      <c r="O172">
        <v>1.834375</v>
      </c>
      <c r="P172">
        <v>0.1161901666901688</v>
      </c>
      <c r="Q172">
        <v>59.984375</v>
      </c>
      <c r="R172" t="s">
        <v>139</v>
      </c>
      <c r="S172">
        <v>0.9</v>
      </c>
      <c r="T172">
        <v>180</v>
      </c>
      <c r="U172">
        <v>100</v>
      </c>
      <c r="V172">
        <v>0.1161901666901637</v>
      </c>
      <c r="W172">
        <v>4.429789868254375E-12</v>
      </c>
      <c r="X172">
        <v>59.984375</v>
      </c>
      <c r="Y172">
        <v>180</v>
      </c>
      <c r="Z172">
        <v>0.9</v>
      </c>
      <c r="AA172">
        <v>127.7930329474168</v>
      </c>
      <c r="AB172">
        <v>45.96875</v>
      </c>
      <c r="AC172">
        <v>268.2613185223597</v>
      </c>
      <c r="AD172">
        <v>396.0543514697765</v>
      </c>
      <c r="AE172">
        <v>0.09603740253882791</v>
      </c>
      <c r="AF172">
        <v>7.697301615272208</v>
      </c>
      <c r="AG172">
        <v>-6.670876490089127E-10</v>
      </c>
      <c r="AH172">
        <v>1.683925266131816E-12</v>
      </c>
      <c r="AI172" t="b">
        <v>0</v>
      </c>
      <c r="AJ172" t="b">
        <v>0</v>
      </c>
      <c r="AK172" t="b">
        <v>1</v>
      </c>
      <c r="AL172">
        <v>0.3731080830330029</v>
      </c>
      <c r="AM172" t="b">
        <v>0</v>
      </c>
    </row>
    <row r="173" spans="1:39">
      <c r="A173" t="s">
        <v>148</v>
      </c>
      <c r="B173">
        <v>100</v>
      </c>
      <c r="C173" t="s">
        <v>141</v>
      </c>
      <c r="D173">
        <v>1.875</v>
      </c>
      <c r="E173">
        <v>60</v>
      </c>
      <c r="F173">
        <v>98</v>
      </c>
      <c r="G173">
        <v>10</v>
      </c>
      <c r="H173">
        <v>0.62</v>
      </c>
      <c r="I173">
        <v>100</v>
      </c>
      <c r="J173">
        <v>376.1503888716482</v>
      </c>
      <c r="K173">
        <v>20</v>
      </c>
      <c r="L173">
        <v>396.1503888716483</v>
      </c>
      <c r="M173">
        <v>0</v>
      </c>
      <c r="N173">
        <v>0</v>
      </c>
      <c r="O173">
        <v>1.834375</v>
      </c>
      <c r="P173">
        <v>0.1548295880567866</v>
      </c>
      <c r="Q173">
        <v>24.828125</v>
      </c>
      <c r="R173" t="s">
        <v>116</v>
      </c>
      <c r="S173">
        <v>0.15</v>
      </c>
      <c r="T173">
        <v>30</v>
      </c>
      <c r="U173">
        <v>40</v>
      </c>
      <c r="V173">
        <v>0.1548295880567858</v>
      </c>
      <c r="W173">
        <v>4.996003610813204E-13</v>
      </c>
      <c r="X173">
        <v>24.828125</v>
      </c>
      <c r="Y173">
        <v>30</v>
      </c>
      <c r="Z173">
        <v>0.15</v>
      </c>
      <c r="AA173">
        <v>358.2677128526308</v>
      </c>
      <c r="AB173">
        <v>13.625</v>
      </c>
      <c r="AC173">
        <v>37.75666094329182</v>
      </c>
      <c r="AD173">
        <v>396.0243737959227</v>
      </c>
      <c r="AE173">
        <v>0.126015075724659</v>
      </c>
      <c r="AF173">
        <v>37.72665336484999</v>
      </c>
      <c r="AG173">
        <v>1.058875209736243E-12</v>
      </c>
      <c r="AH173">
        <v>2.672912205771723E-15</v>
      </c>
      <c r="AI173" t="b">
        <v>0</v>
      </c>
      <c r="AJ173" t="b">
        <v>0</v>
      </c>
      <c r="AK173" t="b">
        <v>0</v>
      </c>
      <c r="AL173">
        <v>1.061373750097118</v>
      </c>
      <c r="AM173" t="b">
        <v>0</v>
      </c>
    </row>
    <row r="174" spans="1:39">
      <c r="A174" t="s">
        <v>148</v>
      </c>
      <c r="B174">
        <v>100</v>
      </c>
      <c r="C174" t="s">
        <v>141</v>
      </c>
      <c r="D174">
        <v>1.875</v>
      </c>
      <c r="E174">
        <v>30</v>
      </c>
      <c r="F174">
        <v>98</v>
      </c>
      <c r="G174">
        <v>10</v>
      </c>
      <c r="H174">
        <v>0.62</v>
      </c>
      <c r="I174">
        <v>100</v>
      </c>
      <c r="J174">
        <v>376.1503888716482</v>
      </c>
      <c r="K174">
        <v>20</v>
      </c>
      <c r="L174">
        <v>396.1503888716483</v>
      </c>
      <c r="M174">
        <v>0</v>
      </c>
      <c r="N174">
        <v>0</v>
      </c>
      <c r="O174">
        <v>1.834375</v>
      </c>
      <c r="P174">
        <v>0.1548295880567866</v>
      </c>
      <c r="Q174">
        <v>24.828125</v>
      </c>
      <c r="R174" t="s">
        <v>117</v>
      </c>
      <c r="S174">
        <v>0.15</v>
      </c>
      <c r="T174">
        <v>30</v>
      </c>
      <c r="U174">
        <v>60</v>
      </c>
      <c r="V174">
        <v>0.1548295880567858</v>
      </c>
      <c r="W174">
        <v>4.996003610813204E-13</v>
      </c>
      <c r="X174">
        <v>24.828125</v>
      </c>
      <c r="Y174">
        <v>30</v>
      </c>
      <c r="Z174">
        <v>0.15</v>
      </c>
      <c r="AA174">
        <v>350.1103953636074</v>
      </c>
      <c r="AB174">
        <v>13.6875</v>
      </c>
      <c r="AC174">
        <v>45.82264004146865</v>
      </c>
      <c r="AD174">
        <v>395.9330354050762</v>
      </c>
      <c r="AE174">
        <v>0.2173534665706699</v>
      </c>
      <c r="AF174">
        <v>24.43302829644846</v>
      </c>
      <c r="AG174">
        <v>1.479150135708096E-12</v>
      </c>
      <c r="AH174">
        <v>3.733809626998339E-15</v>
      </c>
      <c r="AI174" t="b">
        <v>0</v>
      </c>
      <c r="AJ174" t="b">
        <v>0</v>
      </c>
      <c r="AK174" t="b">
        <v>0</v>
      </c>
      <c r="AL174">
        <v>0.3707350828917697</v>
      </c>
      <c r="AM174" t="b">
        <v>0</v>
      </c>
    </row>
    <row r="175" spans="1:39">
      <c r="A175" t="s">
        <v>148</v>
      </c>
      <c r="B175">
        <v>100</v>
      </c>
      <c r="C175" t="s">
        <v>141</v>
      </c>
      <c r="D175">
        <v>1.875</v>
      </c>
      <c r="E175">
        <v>30</v>
      </c>
      <c r="F175">
        <v>98</v>
      </c>
      <c r="G175">
        <v>10</v>
      </c>
      <c r="H175">
        <v>0.62</v>
      </c>
      <c r="I175">
        <v>100</v>
      </c>
      <c r="J175">
        <v>376.1503888716482</v>
      </c>
      <c r="K175">
        <v>20</v>
      </c>
      <c r="L175">
        <v>396.1503888716483</v>
      </c>
      <c r="M175">
        <v>0</v>
      </c>
      <c r="N175">
        <v>0</v>
      </c>
      <c r="O175">
        <v>1.834375</v>
      </c>
      <c r="P175">
        <v>0.1548295880567866</v>
      </c>
      <c r="Q175">
        <v>24.828125</v>
      </c>
      <c r="R175" t="s">
        <v>118</v>
      </c>
      <c r="S175">
        <v>0.15</v>
      </c>
      <c r="T175">
        <v>30</v>
      </c>
      <c r="U175">
        <v>80</v>
      </c>
      <c r="V175">
        <v>0.1548295880567858</v>
      </c>
      <c r="W175">
        <v>4.996003610813204E-13</v>
      </c>
      <c r="X175">
        <v>24.828125</v>
      </c>
      <c r="Y175">
        <v>30</v>
      </c>
      <c r="Z175">
        <v>0.15</v>
      </c>
      <c r="AA175">
        <v>340.1299527761374</v>
      </c>
      <c r="AB175">
        <v>13.75</v>
      </c>
      <c r="AC175">
        <v>55.89596970374554</v>
      </c>
      <c r="AD175">
        <v>396.025922479883</v>
      </c>
      <c r="AE175">
        <v>0.124466391733404</v>
      </c>
      <c r="AF175">
        <v>18.17568256097632</v>
      </c>
      <c r="AG175">
        <v>3.187743125021569E-11</v>
      </c>
      <c r="AH175">
        <v>8.046800443895033E-14</v>
      </c>
      <c r="AI175" t="b">
        <v>0</v>
      </c>
      <c r="AJ175" t="b">
        <v>0</v>
      </c>
      <c r="AK175" t="b">
        <v>1</v>
      </c>
      <c r="AL175">
        <v>0.3490315419621765</v>
      </c>
      <c r="AM175" t="b">
        <v>0</v>
      </c>
    </row>
    <row r="176" spans="1:39">
      <c r="A176" t="s">
        <v>148</v>
      </c>
      <c r="B176">
        <v>100</v>
      </c>
      <c r="C176" t="s">
        <v>141</v>
      </c>
      <c r="D176">
        <v>1.875</v>
      </c>
      <c r="E176">
        <v>30</v>
      </c>
      <c r="F176">
        <v>98</v>
      </c>
      <c r="G176">
        <v>10</v>
      </c>
      <c r="H176">
        <v>0.62</v>
      </c>
      <c r="I176">
        <v>100</v>
      </c>
      <c r="J176">
        <v>376.1503888716482</v>
      </c>
      <c r="K176">
        <v>20</v>
      </c>
      <c r="L176">
        <v>396.1503888716483</v>
      </c>
      <c r="M176">
        <v>0</v>
      </c>
      <c r="N176">
        <v>0</v>
      </c>
      <c r="O176">
        <v>1.834375</v>
      </c>
      <c r="P176">
        <v>0.1548295880567866</v>
      </c>
      <c r="Q176">
        <v>24.828125</v>
      </c>
      <c r="R176" t="s">
        <v>119</v>
      </c>
      <c r="S176">
        <v>0.15</v>
      </c>
      <c r="T176">
        <v>30</v>
      </c>
      <c r="U176">
        <v>100</v>
      </c>
      <c r="V176">
        <v>0.1548295880567858</v>
      </c>
      <c r="W176">
        <v>4.996003610813204E-13</v>
      </c>
      <c r="X176">
        <v>24.828125</v>
      </c>
      <c r="Y176">
        <v>30</v>
      </c>
      <c r="Z176">
        <v>0.15</v>
      </c>
      <c r="AA176">
        <v>328.9626108871462</v>
      </c>
      <c r="AB176">
        <v>13.8125</v>
      </c>
      <c r="AC176">
        <v>67.10672467636928</v>
      </c>
      <c r="AD176">
        <v>396.0693355635154</v>
      </c>
      <c r="AE176">
        <v>0.0810533079664516</v>
      </c>
      <c r="AF176">
        <v>14.52024146781727</v>
      </c>
      <c r="AG176">
        <v>1.663714027655416E-10</v>
      </c>
      <c r="AH176">
        <v>4.199703128890416E-13</v>
      </c>
      <c r="AI176" t="b">
        <v>0</v>
      </c>
      <c r="AJ176" t="b">
        <v>0</v>
      </c>
      <c r="AK176" t="b">
        <v>1</v>
      </c>
      <c r="AL176">
        <v>0.3498682079371065</v>
      </c>
      <c r="AM176" t="b">
        <v>0</v>
      </c>
    </row>
    <row r="177" spans="1:39">
      <c r="A177" t="s">
        <v>148</v>
      </c>
      <c r="B177">
        <v>100</v>
      </c>
      <c r="C177" t="s">
        <v>141</v>
      </c>
      <c r="D177">
        <v>1.875</v>
      </c>
      <c r="E177">
        <v>60</v>
      </c>
      <c r="F177">
        <v>98</v>
      </c>
      <c r="G177">
        <v>10</v>
      </c>
      <c r="H177">
        <v>0.62</v>
      </c>
      <c r="I177">
        <v>100</v>
      </c>
      <c r="J177">
        <v>376.1503888716482</v>
      </c>
      <c r="K177">
        <v>20</v>
      </c>
      <c r="L177">
        <v>396.1503888716483</v>
      </c>
      <c r="M177">
        <v>0</v>
      </c>
      <c r="N177">
        <v>0</v>
      </c>
      <c r="O177">
        <v>1.834375</v>
      </c>
      <c r="P177">
        <v>0.1548295880567866</v>
      </c>
      <c r="Q177">
        <v>24.828125</v>
      </c>
      <c r="R177" t="s">
        <v>120</v>
      </c>
      <c r="S177">
        <v>0.3</v>
      </c>
      <c r="T177">
        <v>60</v>
      </c>
      <c r="U177">
        <v>40</v>
      </c>
      <c r="V177">
        <v>0.1548295880567858</v>
      </c>
      <c r="W177">
        <v>4.996003610813204E-13</v>
      </c>
      <c r="X177">
        <v>24.828125</v>
      </c>
      <c r="Y177">
        <v>60</v>
      </c>
      <c r="Z177">
        <v>0.3</v>
      </c>
      <c r="AA177">
        <v>325.152429104312</v>
      </c>
      <c r="AB177">
        <v>17.75</v>
      </c>
      <c r="AC177">
        <v>70.85226181381444</v>
      </c>
      <c r="AD177">
        <v>396.0046909181264</v>
      </c>
      <c r="AE177">
        <v>0.145697953525274</v>
      </c>
      <c r="AF177">
        <v>30.4821545496817</v>
      </c>
      <c r="AG177">
        <v>-3.484323940483591E-12</v>
      </c>
      <c r="AH177">
        <v>8.795457579652922E-15</v>
      </c>
      <c r="AI177" t="b">
        <v>0</v>
      </c>
      <c r="AJ177" t="b">
        <v>0</v>
      </c>
      <c r="AK177" t="b">
        <v>0</v>
      </c>
      <c r="AL177">
        <v>1.056378541979939</v>
      </c>
      <c r="AM177" t="b">
        <v>0</v>
      </c>
    </row>
    <row r="178" spans="1:39">
      <c r="A178" t="s">
        <v>148</v>
      </c>
      <c r="B178">
        <v>100</v>
      </c>
      <c r="C178" t="s">
        <v>141</v>
      </c>
      <c r="D178">
        <v>1.875</v>
      </c>
      <c r="E178">
        <v>30</v>
      </c>
      <c r="F178">
        <v>98</v>
      </c>
      <c r="G178">
        <v>10</v>
      </c>
      <c r="H178">
        <v>0.62</v>
      </c>
      <c r="I178">
        <v>100</v>
      </c>
      <c r="J178">
        <v>376.1503888716482</v>
      </c>
      <c r="K178">
        <v>20</v>
      </c>
      <c r="L178">
        <v>396.1503888716483</v>
      </c>
      <c r="M178">
        <v>0</v>
      </c>
      <c r="N178">
        <v>0</v>
      </c>
      <c r="O178">
        <v>1.834375</v>
      </c>
      <c r="P178">
        <v>0.1548295880567866</v>
      </c>
      <c r="Q178">
        <v>24.828125</v>
      </c>
      <c r="R178" t="s">
        <v>121</v>
      </c>
      <c r="S178">
        <v>0.3</v>
      </c>
      <c r="T178">
        <v>60</v>
      </c>
      <c r="U178">
        <v>60</v>
      </c>
      <c r="V178">
        <v>0.1548295880567858</v>
      </c>
      <c r="W178">
        <v>4.996003610813204E-13</v>
      </c>
      <c r="X178">
        <v>24.828125</v>
      </c>
      <c r="Y178">
        <v>60</v>
      </c>
      <c r="Z178">
        <v>0.3</v>
      </c>
      <c r="AA178">
        <v>313.3766018358405</v>
      </c>
      <c r="AB178">
        <v>17.84375</v>
      </c>
      <c r="AC178">
        <v>82.52661271362666</v>
      </c>
      <c r="AD178">
        <v>395.9032145494672</v>
      </c>
      <c r="AE178">
        <v>0.2471743221993232</v>
      </c>
      <c r="AF178">
        <v>18.69289312892558</v>
      </c>
      <c r="AG178">
        <v>-1.824204676204033E-11</v>
      </c>
      <c r="AH178">
        <v>4.604828689932376E-14</v>
      </c>
      <c r="AI178" t="b">
        <v>0</v>
      </c>
      <c r="AJ178" t="b">
        <v>0</v>
      </c>
      <c r="AK178" t="b">
        <v>1</v>
      </c>
      <c r="AL178">
        <v>0.3948390419827774</v>
      </c>
      <c r="AM178" t="b">
        <v>0</v>
      </c>
    </row>
    <row r="179" spans="1:39">
      <c r="A179" t="s">
        <v>148</v>
      </c>
      <c r="B179">
        <v>100</v>
      </c>
      <c r="C179" t="s">
        <v>141</v>
      </c>
      <c r="D179">
        <v>1.875</v>
      </c>
      <c r="E179">
        <v>30</v>
      </c>
      <c r="F179">
        <v>98</v>
      </c>
      <c r="G179">
        <v>10</v>
      </c>
      <c r="H179">
        <v>0.62</v>
      </c>
      <c r="I179">
        <v>100</v>
      </c>
      <c r="J179">
        <v>376.1503888716482</v>
      </c>
      <c r="K179">
        <v>20</v>
      </c>
      <c r="L179">
        <v>396.1503888716483</v>
      </c>
      <c r="M179">
        <v>0</v>
      </c>
      <c r="N179">
        <v>0</v>
      </c>
      <c r="O179">
        <v>1.834375</v>
      </c>
      <c r="P179">
        <v>0.1548295880567866</v>
      </c>
      <c r="Q179">
        <v>24.828125</v>
      </c>
      <c r="R179" t="s">
        <v>122</v>
      </c>
      <c r="S179">
        <v>0.3</v>
      </c>
      <c r="T179">
        <v>60</v>
      </c>
      <c r="U179">
        <v>80</v>
      </c>
      <c r="V179">
        <v>0.1548295880567858</v>
      </c>
      <c r="W179">
        <v>4.996003610813204E-13</v>
      </c>
      <c r="X179">
        <v>24.828125</v>
      </c>
      <c r="Y179">
        <v>60</v>
      </c>
      <c r="Z179">
        <v>0.3</v>
      </c>
      <c r="AA179">
        <v>298.4063546661287</v>
      </c>
      <c r="AB179">
        <v>18</v>
      </c>
      <c r="AC179">
        <v>97.61017055013926</v>
      </c>
      <c r="AD179">
        <v>396.0165252162679</v>
      </c>
      <c r="AE179">
        <v>0.1338636554187377</v>
      </c>
      <c r="AF179">
        <v>13.52448441033038</v>
      </c>
      <c r="AG179">
        <v>-3.848474317003081E-11</v>
      </c>
      <c r="AH179">
        <v>9.714680144489213E-14</v>
      </c>
      <c r="AI179" t="b">
        <v>0</v>
      </c>
      <c r="AJ179" t="b">
        <v>0</v>
      </c>
      <c r="AK179" t="b">
        <v>1</v>
      </c>
      <c r="AL179">
        <v>0.3823727089911699</v>
      </c>
      <c r="AM179" t="b">
        <v>0</v>
      </c>
    </row>
    <row r="180" spans="1:39">
      <c r="A180" t="s">
        <v>148</v>
      </c>
      <c r="B180">
        <v>100</v>
      </c>
      <c r="C180" t="s">
        <v>141</v>
      </c>
      <c r="D180">
        <v>1.875</v>
      </c>
      <c r="E180">
        <v>30</v>
      </c>
      <c r="F180">
        <v>98</v>
      </c>
      <c r="G180">
        <v>10</v>
      </c>
      <c r="H180">
        <v>0.62</v>
      </c>
      <c r="I180">
        <v>100</v>
      </c>
      <c r="J180">
        <v>376.1503888716482</v>
      </c>
      <c r="K180">
        <v>20</v>
      </c>
      <c r="L180">
        <v>396.1503888716483</v>
      </c>
      <c r="M180">
        <v>0</v>
      </c>
      <c r="N180">
        <v>0</v>
      </c>
      <c r="O180">
        <v>1.834375</v>
      </c>
      <c r="P180">
        <v>0.1548295880567866</v>
      </c>
      <c r="Q180">
        <v>24.828125</v>
      </c>
      <c r="R180" t="s">
        <v>123</v>
      </c>
      <c r="S180">
        <v>0.3</v>
      </c>
      <c r="T180">
        <v>60</v>
      </c>
      <c r="U180">
        <v>100</v>
      </c>
      <c r="V180">
        <v>0.1548295880567858</v>
      </c>
      <c r="W180">
        <v>4.996003610813204E-13</v>
      </c>
      <c r="X180">
        <v>24.828125</v>
      </c>
      <c r="Y180">
        <v>60</v>
      </c>
      <c r="Z180">
        <v>0.3</v>
      </c>
      <c r="AA180">
        <v>280.7411173703265</v>
      </c>
      <c r="AB180">
        <v>18.1875</v>
      </c>
      <c r="AC180">
        <v>115.3243200078347</v>
      </c>
      <c r="AD180">
        <v>396.0654373781613</v>
      </c>
      <c r="AE180">
        <v>0.0849514934825718</v>
      </c>
      <c r="AF180">
        <v>10.6295544067218</v>
      </c>
      <c r="AG180">
        <v>4.468009295877096E-12</v>
      </c>
      <c r="AH180">
        <v>1.127856849668452E-14</v>
      </c>
      <c r="AI180" t="b">
        <v>0</v>
      </c>
      <c r="AJ180" t="b">
        <v>0</v>
      </c>
      <c r="AK180" t="b">
        <v>1</v>
      </c>
      <c r="AL180">
        <v>0.4023886659415439</v>
      </c>
      <c r="AM180" t="b">
        <v>0</v>
      </c>
    </row>
    <row r="181" spans="1:39">
      <c r="A181" t="s">
        <v>148</v>
      </c>
      <c r="B181">
        <v>100</v>
      </c>
      <c r="C181" t="s">
        <v>141</v>
      </c>
      <c r="D181">
        <v>1.875</v>
      </c>
      <c r="E181">
        <v>30</v>
      </c>
      <c r="F181">
        <v>98</v>
      </c>
      <c r="G181">
        <v>10</v>
      </c>
      <c r="H181">
        <v>0.62</v>
      </c>
      <c r="I181">
        <v>100</v>
      </c>
      <c r="J181">
        <v>376.1503888716482</v>
      </c>
      <c r="K181">
        <v>20</v>
      </c>
      <c r="L181">
        <v>396.1503888716483</v>
      </c>
      <c r="M181">
        <v>0</v>
      </c>
      <c r="N181">
        <v>0</v>
      </c>
      <c r="O181">
        <v>1.834375</v>
      </c>
      <c r="P181">
        <v>0.1548295880567866</v>
      </c>
      <c r="Q181">
        <v>24.828125</v>
      </c>
      <c r="R181" t="s">
        <v>124</v>
      </c>
      <c r="S181">
        <v>0.45</v>
      </c>
      <c r="T181">
        <v>90</v>
      </c>
      <c r="U181">
        <v>40</v>
      </c>
      <c r="V181">
        <v>0.1548295880567896</v>
      </c>
      <c r="W181">
        <v>-1.953992523340276E-12</v>
      </c>
      <c r="X181">
        <v>24.828125</v>
      </c>
      <c r="Y181">
        <v>90</v>
      </c>
      <c r="Z181">
        <v>0.45</v>
      </c>
      <c r="AA181">
        <v>292.9987617529901</v>
      </c>
      <c r="AB181">
        <v>21.21875</v>
      </c>
      <c r="AC181">
        <v>102.2840986675998</v>
      </c>
      <c r="AD181">
        <v>395.2828604205898</v>
      </c>
      <c r="AE181">
        <v>0.8675284510626654</v>
      </c>
      <c r="AF181">
        <v>28.58051967600129</v>
      </c>
      <c r="AG181">
        <v>-4.232059147568634E-12</v>
      </c>
      <c r="AH181">
        <v>1.068296098262776E-14</v>
      </c>
      <c r="AI181" t="b">
        <v>0</v>
      </c>
      <c r="AJ181" t="b">
        <v>0</v>
      </c>
      <c r="AK181" t="b">
        <v>0</v>
      </c>
      <c r="AL181">
        <v>0.3615205000387504</v>
      </c>
      <c r="AM181" t="b">
        <v>0</v>
      </c>
    </row>
    <row r="182" spans="1:39">
      <c r="A182" t="s">
        <v>148</v>
      </c>
      <c r="B182">
        <v>100</v>
      </c>
      <c r="C182" t="s">
        <v>141</v>
      </c>
      <c r="D182">
        <v>1.875</v>
      </c>
      <c r="E182">
        <v>30</v>
      </c>
      <c r="F182">
        <v>98</v>
      </c>
      <c r="G182">
        <v>10</v>
      </c>
      <c r="H182">
        <v>0.62</v>
      </c>
      <c r="I182">
        <v>100</v>
      </c>
      <c r="J182">
        <v>376.1503888716482</v>
      </c>
      <c r="K182">
        <v>20</v>
      </c>
      <c r="L182">
        <v>396.1503888716483</v>
      </c>
      <c r="M182">
        <v>0</v>
      </c>
      <c r="N182">
        <v>0</v>
      </c>
      <c r="O182">
        <v>1.834375</v>
      </c>
      <c r="P182">
        <v>0.1548295880567866</v>
      </c>
      <c r="Q182">
        <v>24.828125</v>
      </c>
      <c r="R182" t="s">
        <v>125</v>
      </c>
      <c r="S182">
        <v>0.45</v>
      </c>
      <c r="T182">
        <v>90</v>
      </c>
      <c r="U182">
        <v>60</v>
      </c>
      <c r="V182">
        <v>0.1548295880567896</v>
      </c>
      <c r="W182">
        <v>-1.953992523340276E-12</v>
      </c>
      <c r="X182">
        <v>24.828125</v>
      </c>
      <c r="Y182">
        <v>90</v>
      </c>
      <c r="Z182">
        <v>0.45</v>
      </c>
      <c r="AA182">
        <v>278.8304645133747</v>
      </c>
      <c r="AB182">
        <v>21.40625</v>
      </c>
      <c r="AC182">
        <v>117.046362826413</v>
      </c>
      <c r="AD182">
        <v>395.8768273397877</v>
      </c>
      <c r="AE182">
        <v>0.2735615318913577</v>
      </c>
      <c r="AF182">
        <v>16.72651081850911</v>
      </c>
      <c r="AG182">
        <v>-3.082079036431651E-11</v>
      </c>
      <c r="AH182">
        <v>7.780073232315411E-14</v>
      </c>
      <c r="AI182" t="b">
        <v>0</v>
      </c>
      <c r="AJ182" t="b">
        <v>0</v>
      </c>
      <c r="AK182" t="b">
        <v>1</v>
      </c>
      <c r="AL182">
        <v>0.3896309999981895</v>
      </c>
      <c r="AM182" t="b">
        <v>0</v>
      </c>
    </row>
    <row r="183" spans="1:39">
      <c r="A183" t="s">
        <v>148</v>
      </c>
      <c r="B183">
        <v>100</v>
      </c>
      <c r="C183" t="s">
        <v>141</v>
      </c>
      <c r="D183">
        <v>1.875</v>
      </c>
      <c r="E183">
        <v>30</v>
      </c>
      <c r="F183">
        <v>98</v>
      </c>
      <c r="G183">
        <v>10</v>
      </c>
      <c r="H183">
        <v>0.62</v>
      </c>
      <c r="I183">
        <v>100</v>
      </c>
      <c r="J183">
        <v>376.1503888716482</v>
      </c>
      <c r="K183">
        <v>20</v>
      </c>
      <c r="L183">
        <v>396.1503888716483</v>
      </c>
      <c r="M183">
        <v>0</v>
      </c>
      <c r="N183">
        <v>0</v>
      </c>
      <c r="O183">
        <v>1.834375</v>
      </c>
      <c r="P183">
        <v>0.1548295880567866</v>
      </c>
      <c r="Q183">
        <v>24.828125</v>
      </c>
      <c r="R183" t="s">
        <v>126</v>
      </c>
      <c r="S183">
        <v>0.45</v>
      </c>
      <c r="T183">
        <v>90</v>
      </c>
      <c r="U183">
        <v>80</v>
      </c>
      <c r="V183">
        <v>0.1548295880567896</v>
      </c>
      <c r="W183">
        <v>-1.953992523340276E-12</v>
      </c>
      <c r="X183">
        <v>24.828125</v>
      </c>
      <c r="Y183">
        <v>90</v>
      </c>
      <c r="Z183">
        <v>0.45</v>
      </c>
      <c r="AA183">
        <v>260.686377901369</v>
      </c>
      <c r="AB183">
        <v>21.65625</v>
      </c>
      <c r="AC183">
        <v>135.322509489024</v>
      </c>
      <c r="AD183">
        <v>396.0088873903929</v>
      </c>
      <c r="AE183">
        <v>0.141501481359881</v>
      </c>
      <c r="AF183">
        <v>11.78483439123383</v>
      </c>
      <c r="AG183">
        <v>-1.046197017906536E-10</v>
      </c>
      <c r="AH183">
        <v>2.640908723796562E-13</v>
      </c>
      <c r="AI183" t="b">
        <v>0</v>
      </c>
      <c r="AJ183" t="b">
        <v>0</v>
      </c>
      <c r="AK183" t="b">
        <v>1</v>
      </c>
      <c r="AL183">
        <v>0.3605565410107374</v>
      </c>
      <c r="AM183" t="b">
        <v>0</v>
      </c>
    </row>
    <row r="184" spans="1:39">
      <c r="A184" t="s">
        <v>148</v>
      </c>
      <c r="B184">
        <v>100</v>
      </c>
      <c r="C184" t="s">
        <v>141</v>
      </c>
      <c r="D184">
        <v>1.875</v>
      </c>
      <c r="E184">
        <v>30</v>
      </c>
      <c r="F184">
        <v>98</v>
      </c>
      <c r="G184">
        <v>10</v>
      </c>
      <c r="H184">
        <v>0.62</v>
      </c>
      <c r="I184">
        <v>100</v>
      </c>
      <c r="J184">
        <v>376.1503888716482</v>
      </c>
      <c r="K184">
        <v>20</v>
      </c>
      <c r="L184">
        <v>396.1503888716483</v>
      </c>
      <c r="M184">
        <v>0</v>
      </c>
      <c r="N184">
        <v>0</v>
      </c>
      <c r="O184">
        <v>1.834375</v>
      </c>
      <c r="P184">
        <v>0.1548295880567866</v>
      </c>
      <c r="Q184">
        <v>24.828125</v>
      </c>
      <c r="R184" t="s">
        <v>127</v>
      </c>
      <c r="S184">
        <v>0.45</v>
      </c>
      <c r="T184">
        <v>90</v>
      </c>
      <c r="U184">
        <v>100</v>
      </c>
      <c r="V184">
        <v>0.1548295880567896</v>
      </c>
      <c r="W184">
        <v>-1.953992523340276E-12</v>
      </c>
      <c r="X184">
        <v>24.828125</v>
      </c>
      <c r="Y184">
        <v>90</v>
      </c>
      <c r="Z184">
        <v>0.45</v>
      </c>
      <c r="AA184">
        <v>239.0870180223181</v>
      </c>
      <c r="AB184">
        <v>21.96875</v>
      </c>
      <c r="AC184">
        <v>156.9753815968888</v>
      </c>
      <c r="AD184">
        <v>396.062399619207</v>
      </c>
      <c r="AE184">
        <v>0.0879892526532786</v>
      </c>
      <c r="AF184">
        <v>9.108675769631429</v>
      </c>
      <c r="AG184">
        <v>-2.118896308411777E-10</v>
      </c>
      <c r="AH184">
        <v>5.348716971973728E-13</v>
      </c>
      <c r="AI184" t="b">
        <v>0</v>
      </c>
      <c r="AJ184" t="b">
        <v>0</v>
      </c>
      <c r="AK184" t="b">
        <v>1</v>
      </c>
      <c r="AL184">
        <v>0.3654852920444682</v>
      </c>
      <c r="AM184" t="b">
        <v>0</v>
      </c>
    </row>
    <row r="185" spans="1:39">
      <c r="A185" t="s">
        <v>148</v>
      </c>
      <c r="B185">
        <v>100</v>
      </c>
      <c r="C185" t="s">
        <v>141</v>
      </c>
      <c r="D185">
        <v>1.875</v>
      </c>
      <c r="E185">
        <v>30</v>
      </c>
      <c r="F185">
        <v>98</v>
      </c>
      <c r="G185">
        <v>10</v>
      </c>
      <c r="H185">
        <v>0.62</v>
      </c>
      <c r="I185">
        <v>100</v>
      </c>
      <c r="J185">
        <v>376.1503888716482</v>
      </c>
      <c r="K185">
        <v>20</v>
      </c>
      <c r="L185">
        <v>396.1503888716483</v>
      </c>
      <c r="M185">
        <v>0</v>
      </c>
      <c r="N185">
        <v>0</v>
      </c>
      <c r="O185">
        <v>1.834375</v>
      </c>
      <c r="P185">
        <v>0.1548295880567866</v>
      </c>
      <c r="Q185">
        <v>24.828125</v>
      </c>
      <c r="R185" t="s">
        <v>128</v>
      </c>
      <c r="S185">
        <v>0.6</v>
      </c>
      <c r="T185">
        <v>120</v>
      </c>
      <c r="U185">
        <v>40</v>
      </c>
      <c r="V185">
        <v>0.1548295880567896</v>
      </c>
      <c r="W185">
        <v>-1.953992523340276E-12</v>
      </c>
      <c r="X185">
        <v>24.828125</v>
      </c>
      <c r="Y185">
        <v>120</v>
      </c>
      <c r="Z185">
        <v>0.6</v>
      </c>
      <c r="AA185">
        <v>261.3233225528856</v>
      </c>
      <c r="AB185">
        <v>24.53125</v>
      </c>
      <c r="AC185">
        <v>133.7179929405744</v>
      </c>
      <c r="AD185">
        <v>395.0413154934601</v>
      </c>
      <c r="AE185">
        <v>1.109073378192754</v>
      </c>
      <c r="AF185">
        <v>28.21272880245667</v>
      </c>
      <c r="AG185">
        <v>-4.53992399229719E-12</v>
      </c>
      <c r="AH185">
        <v>1.146010232434257E-14</v>
      </c>
      <c r="AI185" t="b">
        <v>0</v>
      </c>
      <c r="AJ185" t="b">
        <v>0</v>
      </c>
      <c r="AK185" t="b">
        <v>0</v>
      </c>
      <c r="AL185">
        <v>0.3543307080399245</v>
      </c>
      <c r="AM185" t="b">
        <v>0</v>
      </c>
    </row>
    <row r="186" spans="1:39">
      <c r="A186" t="s">
        <v>148</v>
      </c>
      <c r="B186">
        <v>100</v>
      </c>
      <c r="C186" t="s">
        <v>141</v>
      </c>
      <c r="D186">
        <v>1.875</v>
      </c>
      <c r="E186">
        <v>30</v>
      </c>
      <c r="F186">
        <v>98</v>
      </c>
      <c r="G186">
        <v>10</v>
      </c>
      <c r="H186">
        <v>0.62</v>
      </c>
      <c r="I186">
        <v>100</v>
      </c>
      <c r="J186">
        <v>376.1503888716482</v>
      </c>
      <c r="K186">
        <v>20</v>
      </c>
      <c r="L186">
        <v>396.1503888716483</v>
      </c>
      <c r="M186">
        <v>0</v>
      </c>
      <c r="N186">
        <v>0</v>
      </c>
      <c r="O186">
        <v>1.834375</v>
      </c>
      <c r="P186">
        <v>0.1548295880567866</v>
      </c>
      <c r="Q186">
        <v>24.828125</v>
      </c>
      <c r="R186" t="s">
        <v>129</v>
      </c>
      <c r="S186">
        <v>0.6</v>
      </c>
      <c r="T186">
        <v>120</v>
      </c>
      <c r="U186">
        <v>60</v>
      </c>
      <c r="V186">
        <v>0.1548293072407356</v>
      </c>
      <c r="W186">
        <v>0.0001813710509224</v>
      </c>
      <c r="X186">
        <v>24.859375</v>
      </c>
      <c r="Y186">
        <v>120</v>
      </c>
      <c r="Z186">
        <v>0.6</v>
      </c>
      <c r="AA186">
        <v>245.3413158017421</v>
      </c>
      <c r="AB186">
        <v>24.8125</v>
      </c>
      <c r="AC186">
        <v>150.5101291599938</v>
      </c>
      <c r="AD186">
        <v>395.8514449617359</v>
      </c>
      <c r="AE186">
        <v>0.2989439099524482</v>
      </c>
      <c r="AF186">
        <v>15.89300801660116</v>
      </c>
      <c r="AG186">
        <v>-4.005262788098207E-11</v>
      </c>
      <c r="AH186">
        <v>1.01104603216631E-13</v>
      </c>
      <c r="AI186" t="b">
        <v>0</v>
      </c>
      <c r="AJ186" t="b">
        <v>0</v>
      </c>
      <c r="AK186" t="b">
        <v>1</v>
      </c>
      <c r="AL186">
        <v>0.3682668330147862</v>
      </c>
      <c r="AM186" t="b">
        <v>0</v>
      </c>
    </row>
    <row r="187" spans="1:39">
      <c r="A187" t="s">
        <v>148</v>
      </c>
      <c r="B187">
        <v>100</v>
      </c>
      <c r="C187" t="s">
        <v>141</v>
      </c>
      <c r="D187">
        <v>1.875</v>
      </c>
      <c r="E187">
        <v>30</v>
      </c>
      <c r="F187">
        <v>98</v>
      </c>
      <c r="G187">
        <v>10</v>
      </c>
      <c r="H187">
        <v>0.62</v>
      </c>
      <c r="I187">
        <v>100</v>
      </c>
      <c r="J187">
        <v>376.1503888716482</v>
      </c>
      <c r="K187">
        <v>20</v>
      </c>
      <c r="L187">
        <v>396.1503888716483</v>
      </c>
      <c r="M187">
        <v>0</v>
      </c>
      <c r="N187">
        <v>0</v>
      </c>
      <c r="O187">
        <v>1.834375</v>
      </c>
      <c r="P187">
        <v>0.1548295880567866</v>
      </c>
      <c r="Q187">
        <v>24.828125</v>
      </c>
      <c r="R187" t="s">
        <v>130</v>
      </c>
      <c r="S187">
        <v>0.6</v>
      </c>
      <c r="T187">
        <v>120</v>
      </c>
      <c r="U187">
        <v>80</v>
      </c>
      <c r="V187">
        <v>0.1547906583608286</v>
      </c>
      <c r="W187">
        <v>0.0251435765260765</v>
      </c>
      <c r="X187">
        <v>25.203125</v>
      </c>
      <c r="Y187">
        <v>120</v>
      </c>
      <c r="Z187">
        <v>0.6</v>
      </c>
      <c r="AA187">
        <v>224.8351374752023</v>
      </c>
      <c r="AB187">
        <v>25.15625</v>
      </c>
      <c r="AC187">
        <v>171.1668847713207</v>
      </c>
      <c r="AD187">
        <v>396.002022246523</v>
      </c>
      <c r="AE187">
        <v>0.1483666252781127</v>
      </c>
      <c r="AF187">
        <v>10.93717206189112</v>
      </c>
      <c r="AG187">
        <v>-1.528356330382508E-10</v>
      </c>
      <c r="AH187">
        <v>3.858020522801232E-13</v>
      </c>
      <c r="AI187" t="b">
        <v>0</v>
      </c>
      <c r="AJ187" t="b">
        <v>0</v>
      </c>
      <c r="AK187" t="b">
        <v>1</v>
      </c>
      <c r="AL187">
        <v>0.3662099170032888</v>
      </c>
      <c r="AM187" t="b">
        <v>0</v>
      </c>
    </row>
    <row r="188" spans="1:39">
      <c r="A188" t="s">
        <v>148</v>
      </c>
      <c r="B188">
        <v>100</v>
      </c>
      <c r="C188" t="s">
        <v>141</v>
      </c>
      <c r="D188">
        <v>1.875</v>
      </c>
      <c r="E188">
        <v>30</v>
      </c>
      <c r="F188">
        <v>98</v>
      </c>
      <c r="G188">
        <v>10</v>
      </c>
      <c r="H188">
        <v>0.62</v>
      </c>
      <c r="I188">
        <v>100</v>
      </c>
      <c r="J188">
        <v>376.1503888716482</v>
      </c>
      <c r="K188">
        <v>20</v>
      </c>
      <c r="L188">
        <v>396.1503888716483</v>
      </c>
      <c r="M188">
        <v>0</v>
      </c>
      <c r="N188">
        <v>0</v>
      </c>
      <c r="O188">
        <v>1.834375</v>
      </c>
      <c r="P188">
        <v>0.1548295880567866</v>
      </c>
      <c r="Q188">
        <v>24.828125</v>
      </c>
      <c r="R188" t="s">
        <v>131</v>
      </c>
      <c r="S188">
        <v>0.6</v>
      </c>
      <c r="T188">
        <v>120</v>
      </c>
      <c r="U188">
        <v>100</v>
      </c>
      <c r="V188">
        <v>0.1546196767853644</v>
      </c>
      <c r="W188">
        <v>0.1355756829536147</v>
      </c>
      <c r="X188">
        <v>25.703125</v>
      </c>
      <c r="Y188">
        <v>120</v>
      </c>
      <c r="Z188">
        <v>0.6</v>
      </c>
      <c r="AA188">
        <v>200.4000762478287</v>
      </c>
      <c r="AB188">
        <v>25.65625</v>
      </c>
      <c r="AC188">
        <v>195.6596761275373</v>
      </c>
      <c r="AD188">
        <v>396.059752375366</v>
      </c>
      <c r="AE188">
        <v>0.0906364966606719</v>
      </c>
      <c r="AF188">
        <v>8.322053651408641</v>
      </c>
      <c r="AG188">
        <v>-3.784993429789552E-10</v>
      </c>
      <c r="AH188">
        <v>9.554435729749797E-13</v>
      </c>
      <c r="AI188" t="b">
        <v>0</v>
      </c>
      <c r="AJ188" t="b">
        <v>0</v>
      </c>
      <c r="AK188" t="b">
        <v>1</v>
      </c>
      <c r="AL188">
        <v>0.3607364590279758</v>
      </c>
      <c r="AM188" t="b">
        <v>0</v>
      </c>
    </row>
    <row r="189" spans="1:39">
      <c r="A189" t="s">
        <v>148</v>
      </c>
      <c r="B189">
        <v>100</v>
      </c>
      <c r="C189" t="s">
        <v>141</v>
      </c>
      <c r="D189">
        <v>1.875</v>
      </c>
      <c r="E189">
        <v>30</v>
      </c>
      <c r="F189">
        <v>98</v>
      </c>
      <c r="G189">
        <v>10</v>
      </c>
      <c r="H189">
        <v>0.62</v>
      </c>
      <c r="I189">
        <v>100</v>
      </c>
      <c r="J189">
        <v>376.1503888716482</v>
      </c>
      <c r="K189">
        <v>20</v>
      </c>
      <c r="L189">
        <v>396.1503888716483</v>
      </c>
      <c r="M189">
        <v>0</v>
      </c>
      <c r="N189">
        <v>0</v>
      </c>
      <c r="O189">
        <v>1.834375</v>
      </c>
      <c r="P189">
        <v>0.1548295880567866</v>
      </c>
      <c r="Q189">
        <v>24.828125</v>
      </c>
      <c r="R189" t="s">
        <v>132</v>
      </c>
      <c r="S189">
        <v>0.75</v>
      </c>
      <c r="T189">
        <v>150</v>
      </c>
      <c r="U189">
        <v>40</v>
      </c>
      <c r="V189">
        <v>0.1524775630554813</v>
      </c>
      <c r="W189">
        <v>1.519105637898244</v>
      </c>
      <c r="X189">
        <v>27.890625</v>
      </c>
      <c r="Y189">
        <v>150</v>
      </c>
      <c r="Z189">
        <v>0.75</v>
      </c>
      <c r="AA189">
        <v>229.9542633942824</v>
      </c>
      <c r="AB189">
        <v>27.84375</v>
      </c>
      <c r="AC189">
        <v>164.781121095156</v>
      </c>
      <c r="AD189">
        <v>394.7353844894385</v>
      </c>
      <c r="AE189">
        <v>1.415004382215021</v>
      </c>
      <c r="AF189">
        <v>28.48139179134477</v>
      </c>
      <c r="AG189">
        <v>-5.205391673257509E-12</v>
      </c>
      <c r="AH189">
        <v>1.313993831505248E-14</v>
      </c>
      <c r="AI189" t="b">
        <v>0</v>
      </c>
      <c r="AJ189" t="b">
        <v>0</v>
      </c>
      <c r="AK189" t="b">
        <v>0</v>
      </c>
      <c r="AL189">
        <v>0.38251849997323</v>
      </c>
      <c r="AM189" t="b">
        <v>0</v>
      </c>
    </row>
    <row r="190" spans="1:39">
      <c r="A190" t="s">
        <v>148</v>
      </c>
      <c r="B190">
        <v>100</v>
      </c>
      <c r="C190" t="s">
        <v>141</v>
      </c>
      <c r="D190">
        <v>1.875</v>
      </c>
      <c r="E190">
        <v>30</v>
      </c>
      <c r="F190">
        <v>98</v>
      </c>
      <c r="G190">
        <v>10</v>
      </c>
      <c r="H190">
        <v>0.62</v>
      </c>
      <c r="I190">
        <v>100</v>
      </c>
      <c r="J190">
        <v>376.1503888716482</v>
      </c>
      <c r="K190">
        <v>20</v>
      </c>
      <c r="L190">
        <v>396.1503888716483</v>
      </c>
      <c r="M190">
        <v>0</v>
      </c>
      <c r="N190">
        <v>0</v>
      </c>
      <c r="O190">
        <v>1.834375</v>
      </c>
      <c r="P190">
        <v>0.1548295880567866</v>
      </c>
      <c r="Q190">
        <v>24.828125</v>
      </c>
      <c r="R190" t="s">
        <v>133</v>
      </c>
      <c r="S190">
        <v>0.75</v>
      </c>
      <c r="T190">
        <v>150</v>
      </c>
      <c r="U190">
        <v>60</v>
      </c>
      <c r="V190">
        <v>0.1519260226010677</v>
      </c>
      <c r="W190">
        <v>1.875329833373962</v>
      </c>
      <c r="X190">
        <v>28.265625</v>
      </c>
      <c r="Y190">
        <v>150</v>
      </c>
      <c r="Z190">
        <v>0.75</v>
      </c>
      <c r="AA190">
        <v>212.5236480642679</v>
      </c>
      <c r="AB190">
        <v>28.21875</v>
      </c>
      <c r="AC190">
        <v>183.3025345317262</v>
      </c>
      <c r="AD190">
        <v>395.8261825959941</v>
      </c>
      <c r="AE190">
        <v>0.3242062757027111</v>
      </c>
      <c r="AF190">
        <v>15.55427469514136</v>
      </c>
      <c r="AG190">
        <v>-4.850564394587309E-11</v>
      </c>
      <c r="AH190">
        <v>1.224424998900829E-13</v>
      </c>
      <c r="AI190" t="b">
        <v>0</v>
      </c>
      <c r="AJ190" t="b">
        <v>0</v>
      </c>
      <c r="AK190" t="b">
        <v>1</v>
      </c>
      <c r="AL190">
        <v>0.3617077919188887</v>
      </c>
      <c r="AM190" t="b">
        <v>0</v>
      </c>
    </row>
    <row r="191" spans="1:39">
      <c r="A191" t="s">
        <v>148</v>
      </c>
      <c r="B191">
        <v>100</v>
      </c>
      <c r="C191" t="s">
        <v>141</v>
      </c>
      <c r="D191">
        <v>1.875</v>
      </c>
      <c r="E191">
        <v>30</v>
      </c>
      <c r="F191">
        <v>98</v>
      </c>
      <c r="G191">
        <v>10</v>
      </c>
      <c r="H191">
        <v>0.62</v>
      </c>
      <c r="I191">
        <v>100</v>
      </c>
      <c r="J191">
        <v>376.1503888716482</v>
      </c>
      <c r="K191">
        <v>20</v>
      </c>
      <c r="L191">
        <v>396.1503888716483</v>
      </c>
      <c r="M191">
        <v>0</v>
      </c>
      <c r="N191">
        <v>0</v>
      </c>
      <c r="O191">
        <v>1.834375</v>
      </c>
      <c r="P191">
        <v>0.1548295880567866</v>
      </c>
      <c r="Q191">
        <v>24.828125</v>
      </c>
      <c r="R191" t="s">
        <v>134</v>
      </c>
      <c r="S191">
        <v>0.75</v>
      </c>
      <c r="T191">
        <v>150</v>
      </c>
      <c r="U191">
        <v>80</v>
      </c>
      <c r="V191">
        <v>0.1510840307629375</v>
      </c>
      <c r="W191">
        <v>2.419148265430637</v>
      </c>
      <c r="X191">
        <v>28.796875</v>
      </c>
      <c r="Y191">
        <v>150</v>
      </c>
      <c r="Z191">
        <v>0.75</v>
      </c>
      <c r="AA191">
        <v>190.1641919300418</v>
      </c>
      <c r="AB191">
        <v>28.75</v>
      </c>
      <c r="AC191">
        <v>205.8314027185926</v>
      </c>
      <c r="AD191">
        <v>395.9955946486344</v>
      </c>
      <c r="AE191">
        <v>0.1547942232011802</v>
      </c>
      <c r="AF191">
        <v>10.48748570018322</v>
      </c>
      <c r="AG191">
        <v>-1.873000643470845E-10</v>
      </c>
      <c r="AH191">
        <v>4.728004051203123E-13</v>
      </c>
      <c r="AI191" t="b">
        <v>0</v>
      </c>
      <c r="AJ191" t="b">
        <v>0</v>
      </c>
      <c r="AK191" t="b">
        <v>1</v>
      </c>
      <c r="AL191">
        <v>0.3597692910116166</v>
      </c>
      <c r="AM191" t="b">
        <v>0</v>
      </c>
    </row>
    <row r="192" spans="1:39">
      <c r="A192" t="s">
        <v>148</v>
      </c>
      <c r="B192">
        <v>100</v>
      </c>
      <c r="C192" t="s">
        <v>141</v>
      </c>
      <c r="D192">
        <v>1.875</v>
      </c>
      <c r="E192">
        <v>30</v>
      </c>
      <c r="F192">
        <v>98</v>
      </c>
      <c r="G192">
        <v>10</v>
      </c>
      <c r="H192">
        <v>0.62</v>
      </c>
      <c r="I192">
        <v>100</v>
      </c>
      <c r="J192">
        <v>376.1503888716482</v>
      </c>
      <c r="K192">
        <v>20</v>
      </c>
      <c r="L192">
        <v>396.1503888716483</v>
      </c>
      <c r="M192">
        <v>0</v>
      </c>
      <c r="N192">
        <v>0</v>
      </c>
      <c r="O192">
        <v>1.834375</v>
      </c>
      <c r="P192">
        <v>0.1548295880567866</v>
      </c>
      <c r="Q192">
        <v>24.828125</v>
      </c>
      <c r="R192" t="s">
        <v>135</v>
      </c>
      <c r="S192">
        <v>0.75</v>
      </c>
      <c r="T192">
        <v>150</v>
      </c>
      <c r="U192">
        <v>100</v>
      </c>
      <c r="V192">
        <v>0.1498569379000552</v>
      </c>
      <c r="W192">
        <v>3.211692428521873</v>
      </c>
      <c r="X192">
        <v>29.515625</v>
      </c>
      <c r="Y192">
        <v>150</v>
      </c>
      <c r="Z192">
        <v>0.75</v>
      </c>
      <c r="AA192">
        <v>163.5799842806731</v>
      </c>
      <c r="AB192">
        <v>29.46875</v>
      </c>
      <c r="AC192">
        <v>232.4773545155173</v>
      </c>
      <c r="AD192">
        <v>396.0573387961903</v>
      </c>
      <c r="AE192">
        <v>0.0930500759739339</v>
      </c>
      <c r="AF192">
        <v>7.866909714185482</v>
      </c>
      <c r="AG192">
        <v>-5.161092386796183E-10</v>
      </c>
      <c r="AH192">
        <v>1.30281138975945E-12</v>
      </c>
      <c r="AI192" t="b">
        <v>0</v>
      </c>
      <c r="AJ192" t="b">
        <v>0</v>
      </c>
      <c r="AK192" t="b">
        <v>1</v>
      </c>
      <c r="AL192">
        <v>0.3616587909637019</v>
      </c>
      <c r="AM192" t="b">
        <v>0</v>
      </c>
    </row>
    <row r="193" spans="1:39">
      <c r="A193" t="s">
        <v>148</v>
      </c>
      <c r="B193">
        <v>100</v>
      </c>
      <c r="C193" t="s">
        <v>141</v>
      </c>
      <c r="D193">
        <v>1.875</v>
      </c>
      <c r="E193">
        <v>60</v>
      </c>
      <c r="F193">
        <v>98</v>
      </c>
      <c r="G193">
        <v>10</v>
      </c>
      <c r="H193">
        <v>0.62</v>
      </c>
      <c r="I193">
        <v>100</v>
      </c>
      <c r="J193">
        <v>376.1503888716482</v>
      </c>
      <c r="K193">
        <v>20</v>
      </c>
      <c r="L193">
        <v>396.1503888716483</v>
      </c>
      <c r="M193">
        <v>0</v>
      </c>
      <c r="N193">
        <v>0</v>
      </c>
      <c r="O193">
        <v>1.834375</v>
      </c>
      <c r="P193">
        <v>0.1548295880567866</v>
      </c>
      <c r="Q193">
        <v>24.828125</v>
      </c>
      <c r="R193" t="s">
        <v>136</v>
      </c>
      <c r="S193">
        <v>0.9</v>
      </c>
      <c r="T193">
        <v>180</v>
      </c>
      <c r="U193">
        <v>40</v>
      </c>
      <c r="V193">
        <v>0.1448320535502868</v>
      </c>
      <c r="W193">
        <v>6.457121427483892</v>
      </c>
      <c r="X193">
        <v>31.359375</v>
      </c>
      <c r="Y193">
        <v>180</v>
      </c>
      <c r="Z193">
        <v>0.9</v>
      </c>
      <c r="AA193">
        <v>198.8081776557596</v>
      </c>
      <c r="AB193">
        <v>31.3125</v>
      </c>
      <c r="AC193">
        <v>197.1239207707834</v>
      </c>
      <c r="AD193">
        <v>395.932098426543</v>
      </c>
      <c r="AE193">
        <v>0.2182904451117631</v>
      </c>
      <c r="AF193">
        <v>29.06234953489011</v>
      </c>
      <c r="AG193">
        <v>-6.509542904709065E-12</v>
      </c>
      <c r="AH193">
        <v>1.643199927999601E-14</v>
      </c>
      <c r="AI193" t="b">
        <v>0</v>
      </c>
      <c r="AJ193" t="b">
        <v>0</v>
      </c>
      <c r="AK193" t="b">
        <v>0</v>
      </c>
      <c r="AL193">
        <v>1.066460125031881</v>
      </c>
      <c r="AM193" t="b">
        <v>0</v>
      </c>
    </row>
    <row r="194" spans="1:39">
      <c r="A194" t="s">
        <v>148</v>
      </c>
      <c r="B194">
        <v>100</v>
      </c>
      <c r="C194" t="s">
        <v>141</v>
      </c>
      <c r="D194">
        <v>1.875</v>
      </c>
      <c r="E194">
        <v>30</v>
      </c>
      <c r="F194">
        <v>98</v>
      </c>
      <c r="G194">
        <v>10</v>
      </c>
      <c r="H194">
        <v>0.62</v>
      </c>
      <c r="I194">
        <v>100</v>
      </c>
      <c r="J194">
        <v>376.1503888716482</v>
      </c>
      <c r="K194">
        <v>20</v>
      </c>
      <c r="L194">
        <v>396.1503888716483</v>
      </c>
      <c r="M194">
        <v>0</v>
      </c>
      <c r="N194">
        <v>0</v>
      </c>
      <c r="O194">
        <v>1.834375</v>
      </c>
      <c r="P194">
        <v>0.1548295880567866</v>
      </c>
      <c r="Q194">
        <v>24.828125</v>
      </c>
      <c r="R194" t="s">
        <v>137</v>
      </c>
      <c r="S194">
        <v>0.9</v>
      </c>
      <c r="T194">
        <v>180</v>
      </c>
      <c r="U194">
        <v>60</v>
      </c>
      <c r="V194">
        <v>0.1438345076518241</v>
      </c>
      <c r="W194">
        <v>7.10140777545043</v>
      </c>
      <c r="X194">
        <v>31.859375</v>
      </c>
      <c r="Y194">
        <v>180</v>
      </c>
      <c r="Z194">
        <v>0.9</v>
      </c>
      <c r="AA194">
        <v>180.1940587590057</v>
      </c>
      <c r="AB194">
        <v>31.8125</v>
      </c>
      <c r="AC194">
        <v>215.6065115940616</v>
      </c>
      <c r="AD194">
        <v>395.8005703530673</v>
      </c>
      <c r="AE194">
        <v>0.3498185186338942</v>
      </c>
      <c r="AF194">
        <v>15.47374901311128</v>
      </c>
      <c r="AG194">
        <v>-5.289124693774738E-11</v>
      </c>
      <c r="AH194">
        <v>1.335130506583549E-13</v>
      </c>
      <c r="AI194" t="b">
        <v>0</v>
      </c>
      <c r="AJ194" t="b">
        <v>0</v>
      </c>
      <c r="AK194" t="b">
        <v>1</v>
      </c>
      <c r="AL194">
        <v>0.3626628749771043</v>
      </c>
      <c r="AM194" t="b">
        <v>0</v>
      </c>
    </row>
    <row r="195" spans="1:39">
      <c r="A195" t="s">
        <v>148</v>
      </c>
      <c r="B195">
        <v>100</v>
      </c>
      <c r="C195" t="s">
        <v>141</v>
      </c>
      <c r="D195">
        <v>1.875</v>
      </c>
      <c r="E195">
        <v>30</v>
      </c>
      <c r="F195">
        <v>98</v>
      </c>
      <c r="G195">
        <v>10</v>
      </c>
      <c r="H195">
        <v>0.62</v>
      </c>
      <c r="I195">
        <v>100</v>
      </c>
      <c r="J195">
        <v>376.1503888716482</v>
      </c>
      <c r="K195">
        <v>20</v>
      </c>
      <c r="L195">
        <v>396.1503888716483</v>
      </c>
      <c r="M195">
        <v>0</v>
      </c>
      <c r="N195">
        <v>0</v>
      </c>
      <c r="O195">
        <v>1.834375</v>
      </c>
      <c r="P195">
        <v>0.1548295880567866</v>
      </c>
      <c r="Q195">
        <v>24.828125</v>
      </c>
      <c r="R195" t="s">
        <v>138</v>
      </c>
      <c r="S195">
        <v>0.9</v>
      </c>
      <c r="T195">
        <v>180</v>
      </c>
      <c r="U195">
        <v>80</v>
      </c>
      <c r="V195">
        <v>0.1422949078909975</v>
      </c>
      <c r="W195">
        <v>8.095791200575819</v>
      </c>
      <c r="X195">
        <v>32.609375</v>
      </c>
      <c r="Y195">
        <v>180</v>
      </c>
      <c r="Z195">
        <v>0.9</v>
      </c>
      <c r="AA195">
        <v>156.3550853756497</v>
      </c>
      <c r="AB195">
        <v>32.5625</v>
      </c>
      <c r="AC195">
        <v>239.634356433811</v>
      </c>
      <c r="AD195">
        <v>395.9894418094606</v>
      </c>
      <c r="AE195">
        <v>0.1609470624069243</v>
      </c>
      <c r="AF195">
        <v>10.25046366376415</v>
      </c>
      <c r="AG195">
        <v>-2.192931392031028E-10</v>
      </c>
      <c r="AH195">
        <v>5.535603280050124E-13</v>
      </c>
      <c r="AI195" t="b">
        <v>0</v>
      </c>
      <c r="AJ195" t="b">
        <v>0</v>
      </c>
      <c r="AK195" t="b">
        <v>1</v>
      </c>
      <c r="AL195">
        <v>0.3933346669655293</v>
      </c>
      <c r="AM195" t="b">
        <v>0</v>
      </c>
    </row>
    <row r="196" spans="1:39">
      <c r="A196" t="s">
        <v>148</v>
      </c>
      <c r="B196">
        <v>100</v>
      </c>
      <c r="C196" t="s">
        <v>141</v>
      </c>
      <c r="D196">
        <v>1.875</v>
      </c>
      <c r="E196">
        <v>30</v>
      </c>
      <c r="F196">
        <v>98</v>
      </c>
      <c r="G196">
        <v>10</v>
      </c>
      <c r="H196">
        <v>0.62</v>
      </c>
      <c r="I196">
        <v>100</v>
      </c>
      <c r="J196">
        <v>376.1503888716482</v>
      </c>
      <c r="K196">
        <v>20</v>
      </c>
      <c r="L196">
        <v>396.1503888716483</v>
      </c>
      <c r="M196">
        <v>0</v>
      </c>
      <c r="N196">
        <v>0</v>
      </c>
      <c r="O196">
        <v>1.834375</v>
      </c>
      <c r="P196">
        <v>0.1548295880567866</v>
      </c>
      <c r="Q196">
        <v>24.828125</v>
      </c>
      <c r="R196" t="s">
        <v>139</v>
      </c>
      <c r="S196">
        <v>0.9</v>
      </c>
      <c r="T196">
        <v>180</v>
      </c>
      <c r="U196">
        <v>100</v>
      </c>
      <c r="V196">
        <v>0.1400072212319931</v>
      </c>
      <c r="W196">
        <v>9.573342544421893</v>
      </c>
      <c r="X196">
        <v>33.671875</v>
      </c>
      <c r="Y196">
        <v>180</v>
      </c>
      <c r="Z196">
        <v>0.9</v>
      </c>
      <c r="AA196">
        <v>128.132166676624</v>
      </c>
      <c r="AB196">
        <v>33.625</v>
      </c>
      <c r="AC196">
        <v>267.9229166117296</v>
      </c>
      <c r="AD196">
        <v>396.0550832883537</v>
      </c>
      <c r="AE196">
        <v>0.0953055839203981</v>
      </c>
      <c r="AF196">
        <v>7.591153427782423</v>
      </c>
      <c r="AG196">
        <v>-6.257520612784616E-10</v>
      </c>
      <c r="AH196">
        <v>1.579582095225972E-12</v>
      </c>
      <c r="AI196" t="b">
        <v>0</v>
      </c>
      <c r="AJ196" t="b">
        <v>0</v>
      </c>
      <c r="AK196" t="b">
        <v>1</v>
      </c>
      <c r="AL196">
        <v>0.3745376670267433</v>
      </c>
      <c r="AM196" t="b">
        <v>0</v>
      </c>
    </row>
    <row r="197" spans="1:39">
      <c r="A197" t="s">
        <v>149</v>
      </c>
      <c r="B197">
        <v>100</v>
      </c>
      <c r="C197" t="s">
        <v>143</v>
      </c>
      <c r="D197">
        <v>1.875</v>
      </c>
      <c r="E197">
        <v>60</v>
      </c>
      <c r="F197">
        <v>98</v>
      </c>
      <c r="G197">
        <v>10</v>
      </c>
      <c r="H197">
        <v>0.62</v>
      </c>
      <c r="I197">
        <v>100</v>
      </c>
      <c r="J197">
        <v>376.1503888716483</v>
      </c>
      <c r="K197">
        <v>20</v>
      </c>
      <c r="L197">
        <v>396.1503888716483</v>
      </c>
      <c r="M197">
        <v>0</v>
      </c>
      <c r="N197">
        <v>0</v>
      </c>
      <c r="O197">
        <v>1.834375</v>
      </c>
      <c r="P197">
        <v>0.1739617533410865</v>
      </c>
      <c r="Q197">
        <v>59.984375</v>
      </c>
      <c r="R197" t="s">
        <v>116</v>
      </c>
      <c r="S197">
        <v>0.15</v>
      </c>
      <c r="T197">
        <v>30</v>
      </c>
      <c r="U197">
        <v>40</v>
      </c>
      <c r="V197">
        <v>0.1739617533410865</v>
      </c>
      <c r="W197">
        <v>4.440892098500626E-14</v>
      </c>
      <c r="X197">
        <v>59.984375</v>
      </c>
      <c r="Y197">
        <v>30</v>
      </c>
      <c r="Z197">
        <v>0.15</v>
      </c>
      <c r="AA197">
        <v>358.5608038408894</v>
      </c>
      <c r="AB197">
        <v>27.9375</v>
      </c>
      <c r="AC197">
        <v>37.46298996508859</v>
      </c>
      <c r="AD197">
        <v>396.0237938059779</v>
      </c>
      <c r="AE197">
        <v>0.1265950656710059</v>
      </c>
      <c r="AF197">
        <v>37.86529800151938</v>
      </c>
      <c r="AG197">
        <v>-7.047418204564337E-13</v>
      </c>
      <c r="AH197">
        <v>1.778975460465264E-15</v>
      </c>
      <c r="AI197" t="b">
        <v>0</v>
      </c>
      <c r="AJ197" t="b">
        <v>0</v>
      </c>
      <c r="AK197" t="b">
        <v>0</v>
      </c>
      <c r="AL197">
        <v>1.099655417026952</v>
      </c>
      <c r="AM197" t="b">
        <v>0</v>
      </c>
    </row>
    <row r="198" spans="1:39">
      <c r="A198" t="s">
        <v>149</v>
      </c>
      <c r="B198">
        <v>100</v>
      </c>
      <c r="C198" t="s">
        <v>143</v>
      </c>
      <c r="D198">
        <v>1.875</v>
      </c>
      <c r="E198">
        <v>30</v>
      </c>
      <c r="F198">
        <v>98</v>
      </c>
      <c r="G198">
        <v>10</v>
      </c>
      <c r="H198">
        <v>0.62</v>
      </c>
      <c r="I198">
        <v>100</v>
      </c>
      <c r="J198">
        <v>376.1503888716483</v>
      </c>
      <c r="K198">
        <v>20</v>
      </c>
      <c r="L198">
        <v>396.1503888716483</v>
      </c>
      <c r="M198">
        <v>0</v>
      </c>
      <c r="N198">
        <v>0</v>
      </c>
      <c r="O198">
        <v>1.834375</v>
      </c>
      <c r="P198">
        <v>0.1739617533410865</v>
      </c>
      <c r="Q198">
        <v>59.984375</v>
      </c>
      <c r="R198" t="s">
        <v>117</v>
      </c>
      <c r="S198">
        <v>0.15</v>
      </c>
      <c r="T198">
        <v>30</v>
      </c>
      <c r="U198">
        <v>60</v>
      </c>
      <c r="V198">
        <v>0.1739617533410865</v>
      </c>
      <c r="W198">
        <v>4.440892098500626E-14</v>
      </c>
      <c r="X198">
        <v>59.984375</v>
      </c>
      <c r="Y198">
        <v>30</v>
      </c>
      <c r="Z198">
        <v>0.15</v>
      </c>
      <c r="AA198">
        <v>350.6965725714114</v>
      </c>
      <c r="AB198">
        <v>28.125</v>
      </c>
      <c r="AC198">
        <v>45.23435470950481</v>
      </c>
      <c r="AD198">
        <v>395.9309272809162</v>
      </c>
      <c r="AE198">
        <v>0.2194615907301774</v>
      </c>
      <c r="AF198">
        <v>24.58077835184237</v>
      </c>
      <c r="AG198">
        <v>1.946109939865437E-12</v>
      </c>
      <c r="AH198">
        <v>4.912553400259242E-15</v>
      </c>
      <c r="AI198" t="b">
        <v>0</v>
      </c>
      <c r="AJ198" t="b">
        <v>0</v>
      </c>
      <c r="AK198" t="b">
        <v>0</v>
      </c>
      <c r="AL198">
        <v>0.3817712910240516</v>
      </c>
      <c r="AM198" t="b">
        <v>0</v>
      </c>
    </row>
    <row r="199" spans="1:39">
      <c r="A199" t="s">
        <v>149</v>
      </c>
      <c r="B199">
        <v>100</v>
      </c>
      <c r="C199" t="s">
        <v>143</v>
      </c>
      <c r="D199">
        <v>1.875</v>
      </c>
      <c r="E199">
        <v>30</v>
      </c>
      <c r="F199">
        <v>98</v>
      </c>
      <c r="G199">
        <v>10</v>
      </c>
      <c r="H199">
        <v>0.62</v>
      </c>
      <c r="I199">
        <v>100</v>
      </c>
      <c r="J199">
        <v>376.1503888716483</v>
      </c>
      <c r="K199">
        <v>20</v>
      </c>
      <c r="L199">
        <v>396.1503888716483</v>
      </c>
      <c r="M199">
        <v>0</v>
      </c>
      <c r="N199">
        <v>0</v>
      </c>
      <c r="O199">
        <v>1.834375</v>
      </c>
      <c r="P199">
        <v>0.1739617533410865</v>
      </c>
      <c r="Q199">
        <v>59.984375</v>
      </c>
      <c r="R199" t="s">
        <v>118</v>
      </c>
      <c r="S199">
        <v>0.15</v>
      </c>
      <c r="T199">
        <v>30</v>
      </c>
      <c r="U199">
        <v>80</v>
      </c>
      <c r="V199">
        <v>0.1739617533410865</v>
      </c>
      <c r="W199">
        <v>4.440892098500626E-14</v>
      </c>
      <c r="X199">
        <v>59.984375</v>
      </c>
      <c r="Y199">
        <v>30</v>
      </c>
      <c r="Z199">
        <v>0.15</v>
      </c>
      <c r="AA199">
        <v>341.1529873967481</v>
      </c>
      <c r="AB199">
        <v>28.34375</v>
      </c>
      <c r="AC199">
        <v>54.87168907172087</v>
      </c>
      <c r="AD199">
        <v>396.0246764684691</v>
      </c>
      <c r="AE199">
        <v>0.1257124031429071</v>
      </c>
      <c r="AF199">
        <v>18.32679002815897</v>
      </c>
      <c r="AG199">
        <v>3.634287315534834E-11</v>
      </c>
      <c r="AH199">
        <v>9.174009208690526E-14</v>
      </c>
      <c r="AI199" t="b">
        <v>0</v>
      </c>
      <c r="AJ199" t="b">
        <v>0</v>
      </c>
      <c r="AK199" t="b">
        <v>1</v>
      </c>
      <c r="AL199">
        <v>0.3697707499377429</v>
      </c>
      <c r="AM199" t="b">
        <v>0</v>
      </c>
    </row>
    <row r="200" spans="1:39">
      <c r="A200" t="s">
        <v>149</v>
      </c>
      <c r="B200">
        <v>100</v>
      </c>
      <c r="C200" t="s">
        <v>143</v>
      </c>
      <c r="D200">
        <v>1.875</v>
      </c>
      <c r="E200">
        <v>30</v>
      </c>
      <c r="F200">
        <v>98</v>
      </c>
      <c r="G200">
        <v>10</v>
      </c>
      <c r="H200">
        <v>0.62</v>
      </c>
      <c r="I200">
        <v>100</v>
      </c>
      <c r="J200">
        <v>376.1503888716483</v>
      </c>
      <c r="K200">
        <v>20</v>
      </c>
      <c r="L200">
        <v>396.1503888716483</v>
      </c>
      <c r="M200">
        <v>0</v>
      </c>
      <c r="N200">
        <v>0</v>
      </c>
      <c r="O200">
        <v>1.834375</v>
      </c>
      <c r="P200">
        <v>0.1739617533410865</v>
      </c>
      <c r="Q200">
        <v>59.984375</v>
      </c>
      <c r="R200" t="s">
        <v>119</v>
      </c>
      <c r="S200">
        <v>0.15</v>
      </c>
      <c r="T200">
        <v>30</v>
      </c>
      <c r="U200">
        <v>100</v>
      </c>
      <c r="V200">
        <v>0.1739617533410865</v>
      </c>
      <c r="W200">
        <v>4.440892098500626E-14</v>
      </c>
      <c r="X200">
        <v>59.984375</v>
      </c>
      <c r="Y200">
        <v>30</v>
      </c>
      <c r="Z200">
        <v>0.15</v>
      </c>
      <c r="AA200">
        <v>330.559676955716</v>
      </c>
      <c r="AB200">
        <v>28.5625</v>
      </c>
      <c r="AC200">
        <v>65.50883141607767</v>
      </c>
      <c r="AD200">
        <v>396.0685083717936</v>
      </c>
      <c r="AE200">
        <v>0.0818804996859509</v>
      </c>
      <c r="AF200">
        <v>14.67293454920523</v>
      </c>
      <c r="AG200">
        <v>1.685978301413371E-10</v>
      </c>
      <c r="AH200">
        <v>4.255904698757279E-13</v>
      </c>
      <c r="AI200" t="b">
        <v>0</v>
      </c>
      <c r="AJ200" t="b">
        <v>0</v>
      </c>
      <c r="AK200" t="b">
        <v>1</v>
      </c>
      <c r="AL200">
        <v>0.3538350419839844</v>
      </c>
      <c r="AM200" t="b">
        <v>0</v>
      </c>
    </row>
    <row r="201" spans="1:39">
      <c r="A201" t="s">
        <v>149</v>
      </c>
      <c r="B201">
        <v>100</v>
      </c>
      <c r="C201" t="s">
        <v>143</v>
      </c>
      <c r="D201">
        <v>1.875</v>
      </c>
      <c r="E201">
        <v>60</v>
      </c>
      <c r="F201">
        <v>98</v>
      </c>
      <c r="G201">
        <v>10</v>
      </c>
      <c r="H201">
        <v>0.62</v>
      </c>
      <c r="I201">
        <v>100</v>
      </c>
      <c r="J201">
        <v>376.1503888716483</v>
      </c>
      <c r="K201">
        <v>20</v>
      </c>
      <c r="L201">
        <v>396.1503888716483</v>
      </c>
      <c r="M201">
        <v>0</v>
      </c>
      <c r="N201">
        <v>0</v>
      </c>
      <c r="O201">
        <v>1.834375</v>
      </c>
      <c r="P201">
        <v>0.1739617533410865</v>
      </c>
      <c r="Q201">
        <v>59.984375</v>
      </c>
      <c r="R201" t="s">
        <v>120</v>
      </c>
      <c r="S201">
        <v>0.3</v>
      </c>
      <c r="T201">
        <v>60</v>
      </c>
      <c r="U201">
        <v>40</v>
      </c>
      <c r="V201">
        <v>0.1739617533410865</v>
      </c>
      <c r="W201">
        <v>4.440892098500626E-14</v>
      </c>
      <c r="X201">
        <v>59.984375</v>
      </c>
      <c r="Y201">
        <v>60</v>
      </c>
      <c r="Z201">
        <v>0.3</v>
      </c>
      <c r="AA201">
        <v>325.7325162580499</v>
      </c>
      <c r="AB201">
        <v>34.9375</v>
      </c>
      <c r="AC201">
        <v>70.27142501980325</v>
      </c>
      <c r="AD201">
        <v>396.0039412778531</v>
      </c>
      <c r="AE201">
        <v>0.1464475937962995</v>
      </c>
      <c r="AF201">
        <v>30.62623782160097</v>
      </c>
      <c r="AG201">
        <v>-1.168926067052212E-12</v>
      </c>
      <c r="AH201">
        <v>2.950712910775259E-15</v>
      </c>
      <c r="AI201" t="b">
        <v>0</v>
      </c>
      <c r="AJ201" t="b">
        <v>0</v>
      </c>
      <c r="AK201" t="b">
        <v>0</v>
      </c>
      <c r="AL201">
        <v>1.155634124996141</v>
      </c>
      <c r="AM201" t="b">
        <v>0</v>
      </c>
    </row>
    <row r="202" spans="1:39">
      <c r="A202" t="s">
        <v>149</v>
      </c>
      <c r="B202">
        <v>100</v>
      </c>
      <c r="C202" t="s">
        <v>143</v>
      </c>
      <c r="D202">
        <v>1.875</v>
      </c>
      <c r="E202">
        <v>30</v>
      </c>
      <c r="F202">
        <v>98</v>
      </c>
      <c r="G202">
        <v>10</v>
      </c>
      <c r="H202">
        <v>0.62</v>
      </c>
      <c r="I202">
        <v>100</v>
      </c>
      <c r="J202">
        <v>376.1503888716483</v>
      </c>
      <c r="K202">
        <v>20</v>
      </c>
      <c r="L202">
        <v>396.1503888716483</v>
      </c>
      <c r="M202">
        <v>0</v>
      </c>
      <c r="N202">
        <v>0</v>
      </c>
      <c r="O202">
        <v>1.834375</v>
      </c>
      <c r="P202">
        <v>0.1739617533410865</v>
      </c>
      <c r="Q202">
        <v>59.984375</v>
      </c>
      <c r="R202" t="s">
        <v>121</v>
      </c>
      <c r="S202">
        <v>0.3</v>
      </c>
      <c r="T202">
        <v>60</v>
      </c>
      <c r="U202">
        <v>60</v>
      </c>
      <c r="V202">
        <v>0.1739617533410865</v>
      </c>
      <c r="W202">
        <v>4.440892098500626E-14</v>
      </c>
      <c r="X202">
        <v>59.984375</v>
      </c>
      <c r="Y202">
        <v>60</v>
      </c>
      <c r="Z202">
        <v>0.3</v>
      </c>
      <c r="AA202">
        <v>314.6381727674624</v>
      </c>
      <c r="AB202">
        <v>35.28125</v>
      </c>
      <c r="AC202">
        <v>81.2624315087273</v>
      </c>
      <c r="AD202">
        <v>395.9006042761898</v>
      </c>
      <c r="AE202">
        <v>0.2497845954763983</v>
      </c>
      <c r="AF202">
        <v>18.84365274388929</v>
      </c>
      <c r="AG202">
        <v>-1.790517734079344E-11</v>
      </c>
      <c r="AH202">
        <v>4.519792948277196E-14</v>
      </c>
      <c r="AI202" t="b">
        <v>0</v>
      </c>
      <c r="AJ202" t="b">
        <v>0</v>
      </c>
      <c r="AK202" t="b">
        <v>1</v>
      </c>
      <c r="AL202">
        <v>0.3629808339755982</v>
      </c>
      <c r="AM202" t="b">
        <v>0</v>
      </c>
    </row>
    <row r="203" spans="1:39">
      <c r="A203" t="s">
        <v>149</v>
      </c>
      <c r="B203">
        <v>100</v>
      </c>
      <c r="C203" t="s">
        <v>143</v>
      </c>
      <c r="D203">
        <v>1.875</v>
      </c>
      <c r="E203">
        <v>30</v>
      </c>
      <c r="F203">
        <v>98</v>
      </c>
      <c r="G203">
        <v>10</v>
      </c>
      <c r="H203">
        <v>0.62</v>
      </c>
      <c r="I203">
        <v>100</v>
      </c>
      <c r="J203">
        <v>376.1503888716483</v>
      </c>
      <c r="K203">
        <v>20</v>
      </c>
      <c r="L203">
        <v>396.1503888716483</v>
      </c>
      <c r="M203">
        <v>0</v>
      </c>
      <c r="N203">
        <v>0</v>
      </c>
      <c r="O203">
        <v>1.834375</v>
      </c>
      <c r="P203">
        <v>0.1739617533410865</v>
      </c>
      <c r="Q203">
        <v>59.984375</v>
      </c>
      <c r="R203" t="s">
        <v>122</v>
      </c>
      <c r="S203">
        <v>0.3</v>
      </c>
      <c r="T203">
        <v>60</v>
      </c>
      <c r="U203">
        <v>80</v>
      </c>
      <c r="V203">
        <v>0.1739617533410865</v>
      </c>
      <c r="W203">
        <v>4.440892098500626E-14</v>
      </c>
      <c r="X203">
        <v>59.984375</v>
      </c>
      <c r="Y203">
        <v>60</v>
      </c>
      <c r="Z203">
        <v>0.3</v>
      </c>
      <c r="AA203">
        <v>300.6977879220291</v>
      </c>
      <c r="AB203">
        <v>35.6875</v>
      </c>
      <c r="AC203">
        <v>95.31732565611196</v>
      </c>
      <c r="AD203">
        <v>396.015113578141</v>
      </c>
      <c r="AE203">
        <v>0.1352752935467963</v>
      </c>
      <c r="AF203">
        <v>13.6779105545581</v>
      </c>
      <c r="AG203">
        <v>-3.957595362535925E-11</v>
      </c>
      <c r="AH203">
        <v>9.990133731304193E-14</v>
      </c>
      <c r="AI203" t="b">
        <v>0</v>
      </c>
      <c r="AJ203" t="b">
        <v>0</v>
      </c>
      <c r="AK203" t="b">
        <v>1</v>
      </c>
      <c r="AL203">
        <v>0.3578809589380398</v>
      </c>
      <c r="AM203" t="b">
        <v>0</v>
      </c>
    </row>
    <row r="204" spans="1:39">
      <c r="A204" t="s">
        <v>149</v>
      </c>
      <c r="B204">
        <v>100</v>
      </c>
      <c r="C204" t="s">
        <v>143</v>
      </c>
      <c r="D204">
        <v>1.875</v>
      </c>
      <c r="E204">
        <v>30</v>
      </c>
      <c r="F204">
        <v>98</v>
      </c>
      <c r="G204">
        <v>10</v>
      </c>
      <c r="H204">
        <v>0.62</v>
      </c>
      <c r="I204">
        <v>100</v>
      </c>
      <c r="J204">
        <v>376.1503888716483</v>
      </c>
      <c r="K204">
        <v>20</v>
      </c>
      <c r="L204">
        <v>396.1503888716483</v>
      </c>
      <c r="M204">
        <v>0</v>
      </c>
      <c r="N204">
        <v>0</v>
      </c>
      <c r="O204">
        <v>1.834375</v>
      </c>
      <c r="P204">
        <v>0.1739617533410865</v>
      </c>
      <c r="Q204">
        <v>59.984375</v>
      </c>
      <c r="R204" t="s">
        <v>123</v>
      </c>
      <c r="S204">
        <v>0.3</v>
      </c>
      <c r="T204">
        <v>60</v>
      </c>
      <c r="U204">
        <v>100</v>
      </c>
      <c r="V204">
        <v>0.1739617533410865</v>
      </c>
      <c r="W204">
        <v>4.440892098500626E-14</v>
      </c>
      <c r="X204">
        <v>59.984375</v>
      </c>
      <c r="Y204">
        <v>60</v>
      </c>
      <c r="Z204">
        <v>0.3</v>
      </c>
      <c r="AA204">
        <v>284.4726549001641</v>
      </c>
      <c r="AB204">
        <v>36.1875</v>
      </c>
      <c r="AC204">
        <v>111.5918842749716</v>
      </c>
      <c r="AD204">
        <v>396.0645391751357</v>
      </c>
      <c r="AE204">
        <v>0.08584969651835971</v>
      </c>
      <c r="AF204">
        <v>10.78403323296683</v>
      </c>
      <c r="AG204">
        <v>-5.891065413266006E-12</v>
      </c>
      <c r="AH204">
        <v>1.4870780336845E-14</v>
      </c>
      <c r="AI204" t="b">
        <v>0</v>
      </c>
      <c r="AJ204" t="b">
        <v>0</v>
      </c>
      <c r="AK204" t="b">
        <v>1</v>
      </c>
      <c r="AL204">
        <v>0.3614363750675693</v>
      </c>
      <c r="AM204" t="b">
        <v>0</v>
      </c>
    </row>
    <row r="205" spans="1:39">
      <c r="A205" t="s">
        <v>149</v>
      </c>
      <c r="B205">
        <v>100</v>
      </c>
      <c r="C205" t="s">
        <v>143</v>
      </c>
      <c r="D205">
        <v>1.875</v>
      </c>
      <c r="E205">
        <v>30</v>
      </c>
      <c r="F205">
        <v>98</v>
      </c>
      <c r="G205">
        <v>10</v>
      </c>
      <c r="H205">
        <v>0.62</v>
      </c>
      <c r="I205">
        <v>100</v>
      </c>
      <c r="J205">
        <v>376.1503888716483</v>
      </c>
      <c r="K205">
        <v>20</v>
      </c>
      <c r="L205">
        <v>396.1503888716483</v>
      </c>
      <c r="M205">
        <v>0</v>
      </c>
      <c r="N205">
        <v>0</v>
      </c>
      <c r="O205">
        <v>1.834375</v>
      </c>
      <c r="P205">
        <v>0.1739617533410865</v>
      </c>
      <c r="Q205">
        <v>59.984375</v>
      </c>
      <c r="R205" t="s">
        <v>124</v>
      </c>
      <c r="S205">
        <v>0.45</v>
      </c>
      <c r="T205">
        <v>90</v>
      </c>
      <c r="U205">
        <v>40</v>
      </c>
      <c r="V205">
        <v>0.1739617533410865</v>
      </c>
      <c r="W205">
        <v>4.440892098500626E-14</v>
      </c>
      <c r="X205">
        <v>59.984375</v>
      </c>
      <c r="Y205">
        <v>90</v>
      </c>
      <c r="Z205">
        <v>0.45</v>
      </c>
      <c r="AA205">
        <v>293.873072836783</v>
      </c>
      <c r="AB205">
        <v>40.3125</v>
      </c>
      <c r="AC205">
        <v>101.3986539471533</v>
      </c>
      <c r="AD205">
        <v>395.2717267839363</v>
      </c>
      <c r="AE205">
        <v>0.8786620877192541</v>
      </c>
      <c r="AF205">
        <v>28.72696554666481</v>
      </c>
      <c r="AG205">
        <v>-7.33790805895751E-12</v>
      </c>
      <c r="AH205">
        <v>1.852303636469476E-14</v>
      </c>
      <c r="AI205" t="b">
        <v>0</v>
      </c>
      <c r="AJ205" t="b">
        <v>0</v>
      </c>
      <c r="AK205" t="b">
        <v>0</v>
      </c>
      <c r="AL205">
        <v>0.4041812920477241</v>
      </c>
      <c r="AM205" t="b">
        <v>0</v>
      </c>
    </row>
    <row r="206" spans="1:39">
      <c r="A206" t="s">
        <v>149</v>
      </c>
      <c r="B206">
        <v>100</v>
      </c>
      <c r="C206" t="s">
        <v>143</v>
      </c>
      <c r="D206">
        <v>1.875</v>
      </c>
      <c r="E206">
        <v>30</v>
      </c>
      <c r="F206">
        <v>98</v>
      </c>
      <c r="G206">
        <v>10</v>
      </c>
      <c r="H206">
        <v>0.62</v>
      </c>
      <c r="I206">
        <v>100</v>
      </c>
      <c r="J206">
        <v>376.1503888716483</v>
      </c>
      <c r="K206">
        <v>20</v>
      </c>
      <c r="L206">
        <v>396.1503888716483</v>
      </c>
      <c r="M206">
        <v>0</v>
      </c>
      <c r="N206">
        <v>0</v>
      </c>
      <c r="O206">
        <v>1.834375</v>
      </c>
      <c r="P206">
        <v>0.1739617533410865</v>
      </c>
      <c r="Q206">
        <v>59.984375</v>
      </c>
      <c r="R206" t="s">
        <v>125</v>
      </c>
      <c r="S206">
        <v>0.45</v>
      </c>
      <c r="T206">
        <v>90</v>
      </c>
      <c r="U206">
        <v>60</v>
      </c>
      <c r="V206">
        <v>0.1739617533410865</v>
      </c>
      <c r="W206">
        <v>4.440892098500626E-14</v>
      </c>
      <c r="X206">
        <v>59.984375</v>
      </c>
      <c r="Y206">
        <v>90</v>
      </c>
      <c r="Z206">
        <v>0.45</v>
      </c>
      <c r="AA206">
        <v>280.7776854404518</v>
      </c>
      <c r="AB206">
        <v>40.71875</v>
      </c>
      <c r="AC206">
        <v>115.0960754248519</v>
      </c>
      <c r="AD206">
        <v>395.8737608653037</v>
      </c>
      <c r="AE206">
        <v>0.2766280063764162</v>
      </c>
      <c r="AF206">
        <v>16.87854883945584</v>
      </c>
      <c r="AG206">
        <v>-3.182154539871362E-11</v>
      </c>
      <c r="AH206">
        <v>8.032693212633378E-14</v>
      </c>
      <c r="AI206" t="b">
        <v>0</v>
      </c>
      <c r="AJ206" t="b">
        <v>0</v>
      </c>
      <c r="AK206" t="b">
        <v>1</v>
      </c>
      <c r="AL206">
        <v>0.3777720420621335</v>
      </c>
      <c r="AM206" t="b">
        <v>0</v>
      </c>
    </row>
    <row r="207" spans="1:39">
      <c r="A207" t="s">
        <v>149</v>
      </c>
      <c r="B207">
        <v>100</v>
      </c>
      <c r="C207" t="s">
        <v>143</v>
      </c>
      <c r="D207">
        <v>1.875</v>
      </c>
      <c r="E207">
        <v>30</v>
      </c>
      <c r="F207">
        <v>98</v>
      </c>
      <c r="G207">
        <v>10</v>
      </c>
      <c r="H207">
        <v>0.62</v>
      </c>
      <c r="I207">
        <v>100</v>
      </c>
      <c r="J207">
        <v>376.1503888716483</v>
      </c>
      <c r="K207">
        <v>20</v>
      </c>
      <c r="L207">
        <v>396.1503888716483</v>
      </c>
      <c r="M207">
        <v>0</v>
      </c>
      <c r="N207">
        <v>0</v>
      </c>
      <c r="O207">
        <v>1.834375</v>
      </c>
      <c r="P207">
        <v>0.1739617533410865</v>
      </c>
      <c r="Q207">
        <v>59.984375</v>
      </c>
      <c r="R207" t="s">
        <v>126</v>
      </c>
      <c r="S207">
        <v>0.45</v>
      </c>
      <c r="T207">
        <v>90</v>
      </c>
      <c r="U207">
        <v>80</v>
      </c>
      <c r="V207">
        <v>0.1739617533410865</v>
      </c>
      <c r="W207">
        <v>4.440892098500626E-14</v>
      </c>
      <c r="X207">
        <v>59.984375</v>
      </c>
      <c r="Y207">
        <v>90</v>
      </c>
      <c r="Z207">
        <v>0.45</v>
      </c>
      <c r="AA207">
        <v>264.2555754393441</v>
      </c>
      <c r="AB207">
        <v>41.28125</v>
      </c>
      <c r="AC207">
        <v>131.7517690834226</v>
      </c>
      <c r="AD207">
        <v>396.0073445227667</v>
      </c>
      <c r="AE207">
        <v>0.1430443489893726</v>
      </c>
      <c r="AF207">
        <v>11.93909035482681</v>
      </c>
      <c r="AG207">
        <v>-1.078554467959236E-10</v>
      </c>
      <c r="AH207">
        <v>2.722588436758257E-13</v>
      </c>
      <c r="AI207" t="b">
        <v>0</v>
      </c>
      <c r="AJ207" t="b">
        <v>0</v>
      </c>
      <c r="AK207" t="b">
        <v>1</v>
      </c>
      <c r="AL207">
        <v>0.3762789579341188</v>
      </c>
      <c r="AM207" t="b">
        <v>0</v>
      </c>
    </row>
    <row r="208" spans="1:39">
      <c r="A208" t="s">
        <v>149</v>
      </c>
      <c r="B208">
        <v>100</v>
      </c>
      <c r="C208" t="s">
        <v>143</v>
      </c>
      <c r="D208">
        <v>1.875</v>
      </c>
      <c r="E208">
        <v>30</v>
      </c>
      <c r="F208">
        <v>98</v>
      </c>
      <c r="G208">
        <v>10</v>
      </c>
      <c r="H208">
        <v>0.62</v>
      </c>
      <c r="I208">
        <v>100</v>
      </c>
      <c r="J208">
        <v>376.1503888716483</v>
      </c>
      <c r="K208">
        <v>20</v>
      </c>
      <c r="L208">
        <v>396.1503888716483</v>
      </c>
      <c r="M208">
        <v>0</v>
      </c>
      <c r="N208">
        <v>0</v>
      </c>
      <c r="O208">
        <v>1.834375</v>
      </c>
      <c r="P208">
        <v>0.1739617533410865</v>
      </c>
      <c r="Q208">
        <v>59.984375</v>
      </c>
      <c r="R208" t="s">
        <v>127</v>
      </c>
      <c r="S208">
        <v>0.45</v>
      </c>
      <c r="T208">
        <v>90</v>
      </c>
      <c r="U208">
        <v>100</v>
      </c>
      <c r="V208">
        <v>0.1739617533410865</v>
      </c>
      <c r="W208">
        <v>4.440892098500626E-14</v>
      </c>
      <c r="X208">
        <v>59.984375</v>
      </c>
      <c r="Y208">
        <v>90</v>
      </c>
      <c r="Z208">
        <v>0.45</v>
      </c>
      <c r="AA208">
        <v>244.9388256120133</v>
      </c>
      <c r="AB208">
        <v>42</v>
      </c>
      <c r="AC208">
        <v>151.1226240375905</v>
      </c>
      <c r="AD208">
        <v>396.0614496496038</v>
      </c>
      <c r="AE208">
        <v>0.0889392222713026</v>
      </c>
      <c r="AF208">
        <v>9.263644618640781</v>
      </c>
      <c r="AG208">
        <v>-2.268861348797557E-10</v>
      </c>
      <c r="AH208">
        <v>5.727272804805105E-13</v>
      </c>
      <c r="AI208" t="b">
        <v>0</v>
      </c>
      <c r="AJ208" t="b">
        <v>0</v>
      </c>
      <c r="AK208" t="b">
        <v>1</v>
      </c>
      <c r="AL208">
        <v>0.4112694999203086</v>
      </c>
      <c r="AM208" t="b">
        <v>0</v>
      </c>
    </row>
    <row r="209" spans="1:39">
      <c r="A209" t="s">
        <v>149</v>
      </c>
      <c r="B209">
        <v>100</v>
      </c>
      <c r="C209" t="s">
        <v>143</v>
      </c>
      <c r="D209">
        <v>1.875</v>
      </c>
      <c r="E209">
        <v>30</v>
      </c>
      <c r="F209">
        <v>98</v>
      </c>
      <c r="G209">
        <v>10</v>
      </c>
      <c r="H209">
        <v>0.62</v>
      </c>
      <c r="I209">
        <v>100</v>
      </c>
      <c r="J209">
        <v>376.1503888716483</v>
      </c>
      <c r="K209">
        <v>20</v>
      </c>
      <c r="L209">
        <v>396.1503888716483</v>
      </c>
      <c r="M209">
        <v>0</v>
      </c>
      <c r="N209">
        <v>0</v>
      </c>
      <c r="O209">
        <v>1.834375</v>
      </c>
      <c r="P209">
        <v>0.1739617533410865</v>
      </c>
      <c r="Q209">
        <v>59.984375</v>
      </c>
      <c r="R209" t="s">
        <v>128</v>
      </c>
      <c r="S209">
        <v>0.6</v>
      </c>
      <c r="T209">
        <v>120</v>
      </c>
      <c r="U209">
        <v>40</v>
      </c>
      <c r="V209">
        <v>0.1739617533410865</v>
      </c>
      <c r="W209">
        <v>4.440892098500626E-14</v>
      </c>
      <c r="X209">
        <v>59.984375</v>
      </c>
      <c r="Y209">
        <v>120</v>
      </c>
      <c r="Z209">
        <v>0.6</v>
      </c>
      <c r="AA209">
        <v>262.4853139304411</v>
      </c>
      <c r="AB209">
        <v>44.78125</v>
      </c>
      <c r="AC209">
        <v>132.5397321538123</v>
      </c>
      <c r="AD209">
        <v>395.0250460842535</v>
      </c>
      <c r="AE209">
        <v>1.125342787399708</v>
      </c>
      <c r="AF209">
        <v>28.36057443966612</v>
      </c>
      <c r="AG209">
        <v>-4.908518036472742E-12</v>
      </c>
      <c r="AH209">
        <v>1.239054201222327E-14</v>
      </c>
      <c r="AI209" t="b">
        <v>0</v>
      </c>
      <c r="AJ209" t="b">
        <v>0</v>
      </c>
      <c r="AK209" t="b">
        <v>0</v>
      </c>
      <c r="AL209">
        <v>0.4386303330538794</v>
      </c>
      <c r="AM209" t="b">
        <v>0</v>
      </c>
    </row>
    <row r="210" spans="1:39">
      <c r="A210" t="s">
        <v>149</v>
      </c>
      <c r="B210">
        <v>100</v>
      </c>
      <c r="C210" t="s">
        <v>143</v>
      </c>
      <c r="D210">
        <v>1.875</v>
      </c>
      <c r="E210">
        <v>30</v>
      </c>
      <c r="F210">
        <v>98</v>
      </c>
      <c r="G210">
        <v>10</v>
      </c>
      <c r="H210">
        <v>0.62</v>
      </c>
      <c r="I210">
        <v>100</v>
      </c>
      <c r="J210">
        <v>376.1503888716483</v>
      </c>
      <c r="K210">
        <v>20</v>
      </c>
      <c r="L210">
        <v>396.1503888716483</v>
      </c>
      <c r="M210">
        <v>0</v>
      </c>
      <c r="N210">
        <v>0</v>
      </c>
      <c r="O210">
        <v>1.834375</v>
      </c>
      <c r="P210">
        <v>0.1739617533410865</v>
      </c>
      <c r="Q210">
        <v>59.984375</v>
      </c>
      <c r="R210" t="s">
        <v>129</v>
      </c>
      <c r="S210">
        <v>0.6</v>
      </c>
      <c r="T210">
        <v>120</v>
      </c>
      <c r="U210">
        <v>60</v>
      </c>
      <c r="V210">
        <v>0.1739617533410865</v>
      </c>
      <c r="W210">
        <v>4.440892098500626E-14</v>
      </c>
      <c r="X210">
        <v>59.984375</v>
      </c>
      <c r="Y210">
        <v>120</v>
      </c>
      <c r="Z210">
        <v>0.6</v>
      </c>
      <c r="AA210">
        <v>247.9547785685303</v>
      </c>
      <c r="AB210">
        <v>45.3125</v>
      </c>
      <c r="AC210">
        <v>147.8931441932528</v>
      </c>
      <c r="AD210">
        <v>395.8479227617831</v>
      </c>
      <c r="AE210">
        <v>0.3024661099068313</v>
      </c>
      <c r="AF210">
        <v>16.04581414898232</v>
      </c>
      <c r="AG210">
        <v>-4.159539379600119E-11</v>
      </c>
      <c r="AH210">
        <v>1.049989977656642E-13</v>
      </c>
      <c r="AI210" t="b">
        <v>0</v>
      </c>
      <c r="AJ210" t="b">
        <v>0</v>
      </c>
      <c r="AK210" t="b">
        <v>1</v>
      </c>
      <c r="AL210">
        <v>0.4285508339526132</v>
      </c>
      <c r="AM210" t="b">
        <v>0</v>
      </c>
    </row>
    <row r="211" spans="1:39">
      <c r="A211" t="s">
        <v>149</v>
      </c>
      <c r="B211">
        <v>100</v>
      </c>
      <c r="C211" t="s">
        <v>143</v>
      </c>
      <c r="D211">
        <v>1.875</v>
      </c>
      <c r="E211">
        <v>30</v>
      </c>
      <c r="F211">
        <v>98</v>
      </c>
      <c r="G211">
        <v>10</v>
      </c>
      <c r="H211">
        <v>0.62</v>
      </c>
      <c r="I211">
        <v>100</v>
      </c>
      <c r="J211">
        <v>376.1503888716483</v>
      </c>
      <c r="K211">
        <v>20</v>
      </c>
      <c r="L211">
        <v>396.1503888716483</v>
      </c>
      <c r="M211">
        <v>0</v>
      </c>
      <c r="N211">
        <v>0</v>
      </c>
      <c r="O211">
        <v>1.834375</v>
      </c>
      <c r="P211">
        <v>0.1739617533410865</v>
      </c>
      <c r="Q211">
        <v>59.984375</v>
      </c>
      <c r="R211" t="s">
        <v>130</v>
      </c>
      <c r="S211">
        <v>0.6</v>
      </c>
      <c r="T211">
        <v>120</v>
      </c>
      <c r="U211">
        <v>80</v>
      </c>
      <c r="V211">
        <v>0.1739617533410865</v>
      </c>
      <c r="W211">
        <v>4.440892098500626E-14</v>
      </c>
      <c r="X211">
        <v>59.984375</v>
      </c>
      <c r="Y211">
        <v>120</v>
      </c>
      <c r="Z211">
        <v>0.6</v>
      </c>
      <c r="AA211">
        <v>229.6441163560241</v>
      </c>
      <c r="AB211">
        <v>46</v>
      </c>
      <c r="AC211">
        <v>166.3562450979466</v>
      </c>
      <c r="AD211">
        <v>396.0003614539706</v>
      </c>
      <c r="AE211">
        <v>0.1500274178362856</v>
      </c>
      <c r="AF211">
        <v>11.09179449965815</v>
      </c>
      <c r="AG211">
        <v>-1.586654696517087E-10</v>
      </c>
      <c r="AH211">
        <v>4.005182731326712E-13</v>
      </c>
      <c r="AI211" t="b">
        <v>0</v>
      </c>
      <c r="AJ211" t="b">
        <v>0</v>
      </c>
      <c r="AK211" t="b">
        <v>1</v>
      </c>
      <c r="AL211">
        <v>0.4276713330764323</v>
      </c>
      <c r="AM211" t="b">
        <v>0</v>
      </c>
    </row>
    <row r="212" spans="1:39">
      <c r="A212" t="s">
        <v>149</v>
      </c>
      <c r="B212">
        <v>100</v>
      </c>
      <c r="C212" t="s">
        <v>143</v>
      </c>
      <c r="D212">
        <v>1.875</v>
      </c>
      <c r="E212">
        <v>30</v>
      </c>
      <c r="F212">
        <v>98</v>
      </c>
      <c r="G212">
        <v>10</v>
      </c>
      <c r="H212">
        <v>0.62</v>
      </c>
      <c r="I212">
        <v>100</v>
      </c>
      <c r="J212">
        <v>376.1503888716483</v>
      </c>
      <c r="K212">
        <v>20</v>
      </c>
      <c r="L212">
        <v>396.1503888716483</v>
      </c>
      <c r="M212">
        <v>0</v>
      </c>
      <c r="N212">
        <v>0</v>
      </c>
      <c r="O212">
        <v>1.834375</v>
      </c>
      <c r="P212">
        <v>0.1739617533410865</v>
      </c>
      <c r="Q212">
        <v>59.984375</v>
      </c>
      <c r="R212" t="s">
        <v>131</v>
      </c>
      <c r="S212">
        <v>0.6</v>
      </c>
      <c r="T212">
        <v>120</v>
      </c>
      <c r="U212">
        <v>100</v>
      </c>
      <c r="V212">
        <v>0.1739617533410865</v>
      </c>
      <c r="W212">
        <v>4.440892098500626E-14</v>
      </c>
      <c r="X212">
        <v>59.984375</v>
      </c>
      <c r="Y212">
        <v>120</v>
      </c>
      <c r="Z212">
        <v>0.6</v>
      </c>
      <c r="AA212">
        <v>208.2719766752478</v>
      </c>
      <c r="AB212">
        <v>46.90625</v>
      </c>
      <c r="AC212">
        <v>187.7867795891313</v>
      </c>
      <c r="AD212">
        <v>396.0587562643792</v>
      </c>
      <c r="AE212">
        <v>0.0916326076775154</v>
      </c>
      <c r="AF212">
        <v>8.477460412553127</v>
      </c>
      <c r="AG212">
        <v>-4.083536148113964E-10</v>
      </c>
      <c r="AH212">
        <v>1.030804528488553E-12</v>
      </c>
      <c r="AI212" t="b">
        <v>0</v>
      </c>
      <c r="AJ212" t="b">
        <v>0</v>
      </c>
      <c r="AK212" t="b">
        <v>1</v>
      </c>
      <c r="AL212">
        <v>0.3916035420261323</v>
      </c>
      <c r="AM212" t="b">
        <v>0</v>
      </c>
    </row>
    <row r="213" spans="1:39">
      <c r="A213" t="s">
        <v>149</v>
      </c>
      <c r="B213">
        <v>100</v>
      </c>
      <c r="C213" t="s">
        <v>143</v>
      </c>
      <c r="D213">
        <v>1.875</v>
      </c>
      <c r="E213">
        <v>30</v>
      </c>
      <c r="F213">
        <v>98</v>
      </c>
      <c r="G213">
        <v>10</v>
      </c>
      <c r="H213">
        <v>0.62</v>
      </c>
      <c r="I213">
        <v>100</v>
      </c>
      <c r="J213">
        <v>376.1503888716483</v>
      </c>
      <c r="K213">
        <v>20</v>
      </c>
      <c r="L213">
        <v>396.1503888716483</v>
      </c>
      <c r="M213">
        <v>0</v>
      </c>
      <c r="N213">
        <v>0</v>
      </c>
      <c r="O213">
        <v>1.834375</v>
      </c>
      <c r="P213">
        <v>0.1739617533410865</v>
      </c>
      <c r="Q213">
        <v>59.984375</v>
      </c>
      <c r="R213" t="s">
        <v>132</v>
      </c>
      <c r="S213">
        <v>0.75</v>
      </c>
      <c r="T213">
        <v>150</v>
      </c>
      <c r="U213">
        <v>40</v>
      </c>
      <c r="V213">
        <v>0.173961753341094</v>
      </c>
      <c r="W213">
        <v>-4.307665335545607E-12</v>
      </c>
      <c r="X213">
        <v>59.984375</v>
      </c>
      <c r="Y213">
        <v>150</v>
      </c>
      <c r="Z213">
        <v>0.75</v>
      </c>
      <c r="AA213">
        <v>231.3911296679404</v>
      </c>
      <c r="AB213">
        <v>48.78125</v>
      </c>
      <c r="AC213">
        <v>163.3206239410931</v>
      </c>
      <c r="AD213">
        <v>394.7117536090336</v>
      </c>
      <c r="AE213">
        <v>1.438635262619111</v>
      </c>
      <c r="AF213">
        <v>28.63018065408286</v>
      </c>
      <c r="AG213">
        <v>-4.414912879724397E-12</v>
      </c>
      <c r="AH213">
        <v>1.114453753863364E-14</v>
      </c>
      <c r="AI213" t="b">
        <v>0</v>
      </c>
      <c r="AJ213" t="b">
        <v>0</v>
      </c>
      <c r="AK213" t="b">
        <v>0</v>
      </c>
      <c r="AL213">
        <v>0.3955214580055326</v>
      </c>
      <c r="AM213" t="b">
        <v>0</v>
      </c>
    </row>
    <row r="214" spans="1:39">
      <c r="A214" t="s">
        <v>149</v>
      </c>
      <c r="B214">
        <v>100</v>
      </c>
      <c r="C214" t="s">
        <v>143</v>
      </c>
      <c r="D214">
        <v>1.875</v>
      </c>
      <c r="E214">
        <v>30</v>
      </c>
      <c r="F214">
        <v>98</v>
      </c>
      <c r="G214">
        <v>10</v>
      </c>
      <c r="H214">
        <v>0.62</v>
      </c>
      <c r="I214">
        <v>100</v>
      </c>
      <c r="J214">
        <v>376.1503888716483</v>
      </c>
      <c r="K214">
        <v>20</v>
      </c>
      <c r="L214">
        <v>396.1503888716483</v>
      </c>
      <c r="M214">
        <v>0</v>
      </c>
      <c r="N214">
        <v>0</v>
      </c>
      <c r="O214">
        <v>1.834375</v>
      </c>
      <c r="P214">
        <v>0.1739617533410865</v>
      </c>
      <c r="Q214">
        <v>59.984375</v>
      </c>
      <c r="R214" t="s">
        <v>133</v>
      </c>
      <c r="S214">
        <v>0.75</v>
      </c>
      <c r="T214">
        <v>150</v>
      </c>
      <c r="U214">
        <v>60</v>
      </c>
      <c r="V214">
        <v>0.173961753341094</v>
      </c>
      <c r="W214">
        <v>-4.307665335545607E-12</v>
      </c>
      <c r="X214">
        <v>59.984375</v>
      </c>
      <c r="Y214">
        <v>150</v>
      </c>
      <c r="Z214">
        <v>0.75</v>
      </c>
      <c r="AA214">
        <v>215.7702639443501</v>
      </c>
      <c r="AB214">
        <v>49.375</v>
      </c>
      <c r="AC214">
        <v>180.0519252130217</v>
      </c>
      <c r="AD214">
        <v>395.8221891573718</v>
      </c>
      <c r="AE214">
        <v>0.328199714324193</v>
      </c>
      <c r="AF214">
        <v>15.70761428430105</v>
      </c>
      <c r="AG214">
        <v>-4.771355532895426E-11</v>
      </c>
      <c r="AH214">
        <v>1.204430354463525E-13</v>
      </c>
      <c r="AI214" t="b">
        <v>0</v>
      </c>
      <c r="AJ214" t="b">
        <v>0</v>
      </c>
      <c r="AK214" t="b">
        <v>1</v>
      </c>
      <c r="AL214">
        <v>0.3810230410890654</v>
      </c>
      <c r="AM214" t="b">
        <v>0</v>
      </c>
    </row>
    <row r="215" spans="1:39">
      <c r="A215" t="s">
        <v>149</v>
      </c>
      <c r="B215">
        <v>100</v>
      </c>
      <c r="C215" t="s">
        <v>143</v>
      </c>
      <c r="D215">
        <v>1.875</v>
      </c>
      <c r="E215">
        <v>30</v>
      </c>
      <c r="F215">
        <v>98</v>
      </c>
      <c r="G215">
        <v>10</v>
      </c>
      <c r="H215">
        <v>0.62</v>
      </c>
      <c r="I215">
        <v>100</v>
      </c>
      <c r="J215">
        <v>376.1503888716483</v>
      </c>
      <c r="K215">
        <v>20</v>
      </c>
      <c r="L215">
        <v>396.1503888716483</v>
      </c>
      <c r="M215">
        <v>0</v>
      </c>
      <c r="N215">
        <v>0</v>
      </c>
      <c r="O215">
        <v>1.834375</v>
      </c>
      <c r="P215">
        <v>0.1739617533410865</v>
      </c>
      <c r="Q215">
        <v>59.984375</v>
      </c>
      <c r="R215" t="s">
        <v>134</v>
      </c>
      <c r="S215">
        <v>0.75</v>
      </c>
      <c r="T215">
        <v>150</v>
      </c>
      <c r="U215">
        <v>80</v>
      </c>
      <c r="V215">
        <v>0.173961753341094</v>
      </c>
      <c r="W215">
        <v>-4.307665335545607E-12</v>
      </c>
      <c r="X215">
        <v>59.984375</v>
      </c>
      <c r="Y215">
        <v>150</v>
      </c>
      <c r="Z215">
        <v>0.75</v>
      </c>
      <c r="AA215">
        <v>196.1470442979802</v>
      </c>
      <c r="AB215">
        <v>50.1875</v>
      </c>
      <c r="AC215">
        <v>199.8467777889889</v>
      </c>
      <c r="AD215">
        <v>395.9938220869691</v>
      </c>
      <c r="AE215">
        <v>0.1565667848809586</v>
      </c>
      <c r="AF215">
        <v>10.64231318039381</v>
      </c>
      <c r="AG215">
        <v>-2.017306599544355E-10</v>
      </c>
      <c r="AH215">
        <v>5.092274692169891E-13</v>
      </c>
      <c r="AI215" t="b">
        <v>0</v>
      </c>
      <c r="AJ215" t="b">
        <v>0</v>
      </c>
      <c r="AK215" t="b">
        <v>1</v>
      </c>
      <c r="AL215">
        <v>0.3931573330191895</v>
      </c>
      <c r="AM215" t="b">
        <v>0</v>
      </c>
    </row>
    <row r="216" spans="1:39">
      <c r="A216" t="s">
        <v>149</v>
      </c>
      <c r="B216">
        <v>100</v>
      </c>
      <c r="C216" t="s">
        <v>143</v>
      </c>
      <c r="D216">
        <v>1.875</v>
      </c>
      <c r="E216">
        <v>30</v>
      </c>
      <c r="F216">
        <v>98</v>
      </c>
      <c r="G216">
        <v>10</v>
      </c>
      <c r="H216">
        <v>0.62</v>
      </c>
      <c r="I216">
        <v>100</v>
      </c>
      <c r="J216">
        <v>376.1503888716483</v>
      </c>
      <c r="K216">
        <v>20</v>
      </c>
      <c r="L216">
        <v>396.1503888716483</v>
      </c>
      <c r="M216">
        <v>0</v>
      </c>
      <c r="N216">
        <v>0</v>
      </c>
      <c r="O216">
        <v>1.834375</v>
      </c>
      <c r="P216">
        <v>0.1739617533410865</v>
      </c>
      <c r="Q216">
        <v>59.984375</v>
      </c>
      <c r="R216" t="s">
        <v>135</v>
      </c>
      <c r="S216">
        <v>0.75</v>
      </c>
      <c r="T216">
        <v>150</v>
      </c>
      <c r="U216">
        <v>100</v>
      </c>
      <c r="V216">
        <v>0.173961753341094</v>
      </c>
      <c r="W216">
        <v>-4.307665335545607E-12</v>
      </c>
      <c r="X216">
        <v>59.984375</v>
      </c>
      <c r="Y216">
        <v>150</v>
      </c>
      <c r="Z216">
        <v>0.75</v>
      </c>
      <c r="AA216">
        <v>173.33038278172</v>
      </c>
      <c r="AB216">
        <v>51.21875</v>
      </c>
      <c r="AC216">
        <v>222.7259164601104</v>
      </c>
      <c r="AD216">
        <v>396.0562992418305</v>
      </c>
      <c r="AE216">
        <v>0.094089630359039</v>
      </c>
      <c r="AF216">
        <v>8.0228040990308</v>
      </c>
      <c r="AG216">
        <v>-5.41294148392879E-10</v>
      </c>
      <c r="AH216">
        <v>1.366385503077865E-12</v>
      </c>
      <c r="AI216" t="b">
        <v>0</v>
      </c>
      <c r="AJ216" t="b">
        <v>0</v>
      </c>
      <c r="AK216" t="b">
        <v>1</v>
      </c>
      <c r="AL216">
        <v>0.3741781669668853</v>
      </c>
      <c r="AM216" t="b">
        <v>0</v>
      </c>
    </row>
    <row r="217" spans="1:39">
      <c r="A217" t="s">
        <v>149</v>
      </c>
      <c r="B217">
        <v>100</v>
      </c>
      <c r="C217" t="s">
        <v>143</v>
      </c>
      <c r="D217">
        <v>1.875</v>
      </c>
      <c r="E217">
        <v>60</v>
      </c>
      <c r="F217">
        <v>98</v>
      </c>
      <c r="G217">
        <v>10</v>
      </c>
      <c r="H217">
        <v>0.62</v>
      </c>
      <c r="I217">
        <v>100</v>
      </c>
      <c r="J217">
        <v>376.1503888716483</v>
      </c>
      <c r="K217">
        <v>20</v>
      </c>
      <c r="L217">
        <v>396.1503888716483</v>
      </c>
      <c r="M217">
        <v>0</v>
      </c>
      <c r="N217">
        <v>0</v>
      </c>
      <c r="O217">
        <v>1.834375</v>
      </c>
      <c r="P217">
        <v>0.1739617533410865</v>
      </c>
      <c r="Q217">
        <v>59.984375</v>
      </c>
      <c r="R217" t="s">
        <v>136</v>
      </c>
      <c r="S217">
        <v>0.9</v>
      </c>
      <c r="T217">
        <v>180</v>
      </c>
      <c r="U217">
        <v>40</v>
      </c>
      <c r="V217">
        <v>0.173961753341094</v>
      </c>
      <c r="W217">
        <v>-4.307665335545607E-12</v>
      </c>
      <c r="X217">
        <v>59.984375</v>
      </c>
      <c r="Y217">
        <v>180</v>
      </c>
      <c r="Z217">
        <v>0.9</v>
      </c>
      <c r="AA217">
        <v>200.5021331220756</v>
      </c>
      <c r="AB217">
        <v>52.375</v>
      </c>
      <c r="AC217">
        <v>195.4285375196501</v>
      </c>
      <c r="AD217">
        <v>395.9306706417258</v>
      </c>
      <c r="AE217">
        <v>0.2197182299277595</v>
      </c>
      <c r="AF217">
        <v>29.21183559727884</v>
      </c>
      <c r="AG217">
        <v>-5.281719506200489E-12</v>
      </c>
      <c r="AH217">
        <v>1.333261219620247E-14</v>
      </c>
      <c r="AI217" t="b">
        <v>0</v>
      </c>
      <c r="AJ217" t="b">
        <v>0</v>
      </c>
      <c r="AK217" t="b">
        <v>0</v>
      </c>
      <c r="AL217">
        <v>1.145588834071532</v>
      </c>
      <c r="AM217" t="b">
        <v>0</v>
      </c>
    </row>
    <row r="218" spans="1:39">
      <c r="A218" t="s">
        <v>149</v>
      </c>
      <c r="B218">
        <v>100</v>
      </c>
      <c r="C218" t="s">
        <v>143</v>
      </c>
      <c r="D218">
        <v>1.875</v>
      </c>
      <c r="E218">
        <v>30</v>
      </c>
      <c r="F218">
        <v>98</v>
      </c>
      <c r="G218">
        <v>10</v>
      </c>
      <c r="H218">
        <v>0.62</v>
      </c>
      <c r="I218">
        <v>100</v>
      </c>
      <c r="J218">
        <v>376.1503888716483</v>
      </c>
      <c r="K218">
        <v>20</v>
      </c>
      <c r="L218">
        <v>396.1503888716483</v>
      </c>
      <c r="M218">
        <v>0</v>
      </c>
      <c r="N218">
        <v>0</v>
      </c>
      <c r="O218">
        <v>1.834375</v>
      </c>
      <c r="P218">
        <v>0.1739617533410865</v>
      </c>
      <c r="Q218">
        <v>59.984375</v>
      </c>
      <c r="R218" t="s">
        <v>137</v>
      </c>
      <c r="S218">
        <v>0.9</v>
      </c>
      <c r="T218">
        <v>180</v>
      </c>
      <c r="U218">
        <v>60</v>
      </c>
      <c r="V218">
        <v>0.173961753341094</v>
      </c>
      <c r="W218">
        <v>-4.307665335545607E-12</v>
      </c>
      <c r="X218">
        <v>59.984375</v>
      </c>
      <c r="Y218">
        <v>180</v>
      </c>
      <c r="Z218">
        <v>0.9</v>
      </c>
      <c r="AA218">
        <v>184.0292058158581</v>
      </c>
      <c r="AB218">
        <v>53.0625</v>
      </c>
      <c r="AC218">
        <v>211.7668755993867</v>
      </c>
      <c r="AD218">
        <v>395.7960814152449</v>
      </c>
      <c r="AE218">
        <v>0.354307456457431</v>
      </c>
      <c r="AF218">
        <v>15.62747723653231</v>
      </c>
      <c r="AG218">
        <v>-5.399830582675236E-11</v>
      </c>
      <c r="AH218">
        <v>1.363075926305545E-13</v>
      </c>
      <c r="AI218" t="b">
        <v>0</v>
      </c>
      <c r="AJ218" t="b">
        <v>0</v>
      </c>
      <c r="AK218" t="b">
        <v>1</v>
      </c>
      <c r="AL218">
        <v>0.3724092920310795</v>
      </c>
      <c r="AM218" t="b">
        <v>0</v>
      </c>
    </row>
    <row r="219" spans="1:39">
      <c r="A219" t="s">
        <v>149</v>
      </c>
      <c r="B219">
        <v>100</v>
      </c>
      <c r="C219" t="s">
        <v>143</v>
      </c>
      <c r="D219">
        <v>1.875</v>
      </c>
      <c r="E219">
        <v>30</v>
      </c>
      <c r="F219">
        <v>98</v>
      </c>
      <c r="G219">
        <v>10</v>
      </c>
      <c r="H219">
        <v>0.62</v>
      </c>
      <c r="I219">
        <v>100</v>
      </c>
      <c r="J219">
        <v>376.1503888716483</v>
      </c>
      <c r="K219">
        <v>20</v>
      </c>
      <c r="L219">
        <v>396.1503888716483</v>
      </c>
      <c r="M219">
        <v>0</v>
      </c>
      <c r="N219">
        <v>0</v>
      </c>
      <c r="O219">
        <v>1.834375</v>
      </c>
      <c r="P219">
        <v>0.1739617533410865</v>
      </c>
      <c r="Q219">
        <v>59.984375</v>
      </c>
      <c r="R219" t="s">
        <v>138</v>
      </c>
      <c r="S219">
        <v>0.9</v>
      </c>
      <c r="T219">
        <v>180</v>
      </c>
      <c r="U219">
        <v>80</v>
      </c>
      <c r="V219">
        <v>0.173961753341094</v>
      </c>
      <c r="W219">
        <v>-4.307665335545607E-12</v>
      </c>
      <c r="X219">
        <v>59.984375</v>
      </c>
      <c r="Y219">
        <v>180</v>
      </c>
      <c r="Z219">
        <v>0.9</v>
      </c>
      <c r="AA219">
        <v>163.4174589673628</v>
      </c>
      <c r="AB219">
        <v>53.96875</v>
      </c>
      <c r="AC219">
        <v>232.5701012416699</v>
      </c>
      <c r="AD219">
        <v>395.9875602090327</v>
      </c>
      <c r="AE219">
        <v>0.1628286628464059</v>
      </c>
      <c r="AF219">
        <v>10.40545400077829</v>
      </c>
      <c r="AG219">
        <v>-2.308673530126981E-10</v>
      </c>
      <c r="AH219">
        <v>5.827770450264497E-13</v>
      </c>
      <c r="AI219" t="b">
        <v>0</v>
      </c>
      <c r="AJ219" t="b">
        <v>0</v>
      </c>
      <c r="AK219" t="b">
        <v>1</v>
      </c>
      <c r="AL219">
        <v>0.4214555410435423</v>
      </c>
      <c r="AM219" t="b">
        <v>0</v>
      </c>
    </row>
    <row r="220" spans="1:39">
      <c r="A220" t="s">
        <v>149</v>
      </c>
      <c r="B220">
        <v>100</v>
      </c>
      <c r="C220" t="s">
        <v>143</v>
      </c>
      <c r="D220">
        <v>1.875</v>
      </c>
      <c r="E220">
        <v>30</v>
      </c>
      <c r="F220">
        <v>98</v>
      </c>
      <c r="G220">
        <v>10</v>
      </c>
      <c r="H220">
        <v>0.62</v>
      </c>
      <c r="I220">
        <v>100</v>
      </c>
      <c r="J220">
        <v>376.1503888716483</v>
      </c>
      <c r="K220">
        <v>20</v>
      </c>
      <c r="L220">
        <v>396.1503888716483</v>
      </c>
      <c r="M220">
        <v>0</v>
      </c>
      <c r="N220">
        <v>0</v>
      </c>
      <c r="O220">
        <v>1.834375</v>
      </c>
      <c r="P220">
        <v>0.1739617533410865</v>
      </c>
      <c r="Q220">
        <v>59.984375</v>
      </c>
      <c r="R220" t="s">
        <v>139</v>
      </c>
      <c r="S220">
        <v>0.9</v>
      </c>
      <c r="T220">
        <v>180</v>
      </c>
      <c r="U220">
        <v>100</v>
      </c>
      <c r="V220">
        <v>0.173961753341094</v>
      </c>
      <c r="W220">
        <v>-4.307665335545607E-12</v>
      </c>
      <c r="X220">
        <v>59.984375</v>
      </c>
      <c r="Y220">
        <v>180</v>
      </c>
      <c r="Z220">
        <v>0.9</v>
      </c>
      <c r="AA220">
        <v>139.5707006675757</v>
      </c>
      <c r="AB220">
        <v>55.15625</v>
      </c>
      <c r="AC220">
        <v>256.4833011501145</v>
      </c>
      <c r="AD220">
        <v>396.0540018176903</v>
      </c>
      <c r="AE220">
        <v>0.0963870546118992</v>
      </c>
      <c r="AF220">
        <v>7.747590340367341</v>
      </c>
      <c r="AG220">
        <v>-6.538025537627944E-10</v>
      </c>
      <c r="AH220">
        <v>1.650389781580209E-12</v>
      </c>
      <c r="AI220" t="b">
        <v>0</v>
      </c>
      <c r="AJ220" t="b">
        <v>0</v>
      </c>
      <c r="AK220" t="b">
        <v>1</v>
      </c>
      <c r="AL220">
        <v>0.3750360840931535</v>
      </c>
      <c r="AM220" t="b">
        <v>0</v>
      </c>
    </row>
  </sheetData>
  <autoFilter ref="A4:AM220"/>
  <mergeCells count="2">
    <mergeCell ref="A1:J1"/>
    <mergeCell ref="A2:J2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10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2" t="s">
        <v>151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5" t="s">
        <v>92</v>
      </c>
      <c r="B4" s="5" t="s">
        <v>94</v>
      </c>
      <c r="C4" s="5" t="s">
        <v>93</v>
      </c>
      <c r="D4" s="5" t="s">
        <v>95</v>
      </c>
      <c r="E4" s="5" t="s">
        <v>152</v>
      </c>
      <c r="F4" s="5" t="s">
        <v>153</v>
      </c>
      <c r="G4" s="5" t="s">
        <v>154</v>
      </c>
      <c r="H4" s="5" t="s">
        <v>155</v>
      </c>
      <c r="I4" s="5" t="s">
        <v>156</v>
      </c>
    </row>
    <row r="5" spans="1:10">
      <c r="A5" t="s">
        <v>116</v>
      </c>
      <c r="B5">
        <v>30</v>
      </c>
      <c r="C5">
        <v>0.15</v>
      </c>
      <c r="D5">
        <v>40</v>
      </c>
      <c r="E5" t="b">
        <v>0</v>
      </c>
      <c r="F5">
        <v>-1.088018564132653E-12</v>
      </c>
      <c r="G5">
        <v>150.5181509892304</v>
      </c>
      <c r="H5">
        <v>37.81048249876897</v>
      </c>
      <c r="I5">
        <v>0</v>
      </c>
    </row>
    <row r="6" spans="1:10">
      <c r="A6" t="s">
        <v>117</v>
      </c>
      <c r="B6">
        <v>30</v>
      </c>
      <c r="C6">
        <v>0.15</v>
      </c>
      <c r="D6">
        <v>60</v>
      </c>
      <c r="E6" t="b">
        <v>0</v>
      </c>
      <c r="F6">
        <v>-1.088018564132653E-12</v>
      </c>
      <c r="G6">
        <v>143.9655763804249</v>
      </c>
      <c r="H6">
        <v>24.51862910791287</v>
      </c>
      <c r="I6">
        <v>0</v>
      </c>
    </row>
    <row r="7" spans="1:10">
      <c r="A7" t="s">
        <v>118</v>
      </c>
      <c r="B7">
        <v>30</v>
      </c>
      <c r="C7">
        <v>0.15</v>
      </c>
      <c r="D7">
        <v>80</v>
      </c>
      <c r="E7" t="b">
        <v>0</v>
      </c>
      <c r="F7">
        <v>-1.088018564132653E-12</v>
      </c>
      <c r="G7">
        <v>136.1950839786061</v>
      </c>
      <c r="H7">
        <v>18.26156735782218</v>
      </c>
      <c r="I7">
        <v>0</v>
      </c>
    </row>
    <row r="8" spans="1:10">
      <c r="A8" t="s">
        <v>119</v>
      </c>
      <c r="B8">
        <v>30</v>
      </c>
      <c r="C8">
        <v>0.15</v>
      </c>
      <c r="D8">
        <v>100</v>
      </c>
      <c r="E8" t="b">
        <v>0</v>
      </c>
      <c r="F8">
        <v>-1.088018564132653E-12</v>
      </c>
      <c r="G8">
        <v>127.753156269836</v>
      </c>
      <c r="H8">
        <v>14.60620782663983</v>
      </c>
      <c r="I8">
        <v>0</v>
      </c>
    </row>
    <row r="9" spans="1:10">
      <c r="A9" t="s">
        <v>120</v>
      </c>
      <c r="B9">
        <v>60</v>
      </c>
      <c r="C9">
        <v>0.3</v>
      </c>
      <c r="D9">
        <v>40</v>
      </c>
      <c r="E9" t="b">
        <v>0</v>
      </c>
      <c r="F9">
        <v>9.769962616701378E-13</v>
      </c>
      <c r="G9">
        <v>118.3578241086535</v>
      </c>
      <c r="H9">
        <v>30.5672344519016</v>
      </c>
      <c r="I9">
        <v>0</v>
      </c>
    </row>
    <row r="10" spans="1:10">
      <c r="A10" t="s">
        <v>121</v>
      </c>
      <c r="B10">
        <v>60</v>
      </c>
      <c r="C10">
        <v>0.3</v>
      </c>
      <c r="D10">
        <v>60</v>
      </c>
      <c r="E10" t="b">
        <v>0</v>
      </c>
      <c r="F10">
        <v>9.769962616701378E-13</v>
      </c>
      <c r="G10">
        <v>109.4902699226109</v>
      </c>
      <c r="H10">
        <v>18.7788171152484</v>
      </c>
      <c r="I10">
        <v>0</v>
      </c>
    </row>
    <row r="11" spans="1:10">
      <c r="A11" t="s">
        <v>122</v>
      </c>
      <c r="B11">
        <v>60</v>
      </c>
      <c r="C11">
        <v>0.3</v>
      </c>
      <c r="D11">
        <v>80</v>
      </c>
      <c r="E11" t="b">
        <v>0</v>
      </c>
      <c r="F11">
        <v>9.769962616701378E-13</v>
      </c>
      <c r="G11">
        <v>98.7082625761559</v>
      </c>
      <c r="H11">
        <v>13.610632314199</v>
      </c>
      <c r="I11">
        <v>0</v>
      </c>
    </row>
    <row r="12" spans="1:10">
      <c r="A12" t="s">
        <v>123</v>
      </c>
      <c r="B12">
        <v>60</v>
      </c>
      <c r="C12">
        <v>0.3</v>
      </c>
      <c r="D12">
        <v>100</v>
      </c>
      <c r="E12" t="b">
        <v>0</v>
      </c>
      <c r="F12">
        <v>9.769962616701378E-13</v>
      </c>
      <c r="G12">
        <v>86.58611291221472</v>
      </c>
      <c r="H12">
        <v>10.71549678381184</v>
      </c>
      <c r="I12">
        <v>0</v>
      </c>
    </row>
    <row r="13" spans="1:10">
      <c r="A13" t="s">
        <v>124</v>
      </c>
      <c r="B13">
        <v>90</v>
      </c>
      <c r="C13">
        <v>0.45</v>
      </c>
      <c r="D13">
        <v>40</v>
      </c>
      <c r="E13" t="b">
        <v>0</v>
      </c>
      <c r="F13">
        <v>-3.441691376337985E-12</v>
      </c>
      <c r="G13">
        <v>87.08161021667621</v>
      </c>
      <c r="H13">
        <v>28.66600313662778</v>
      </c>
      <c r="I13">
        <v>0</v>
      </c>
    </row>
    <row r="14" spans="1:10">
      <c r="A14" t="s">
        <v>125</v>
      </c>
      <c r="B14">
        <v>90</v>
      </c>
      <c r="C14">
        <v>0.45</v>
      </c>
      <c r="D14">
        <v>60</v>
      </c>
      <c r="E14" t="b">
        <v>0</v>
      </c>
      <c r="F14">
        <v>-3.441691376337985E-12</v>
      </c>
      <c r="G14">
        <v>76.99462356123993</v>
      </c>
      <c r="H14">
        <v>16.81256168673528</v>
      </c>
      <c r="I14">
        <v>0</v>
      </c>
    </row>
    <row r="15" spans="1:10">
      <c r="A15" t="s">
        <v>126</v>
      </c>
      <c r="B15">
        <v>90</v>
      </c>
      <c r="C15">
        <v>0.45</v>
      </c>
      <c r="D15">
        <v>80</v>
      </c>
      <c r="E15" t="b">
        <v>0</v>
      </c>
      <c r="F15">
        <v>-3.441691376337985E-12</v>
      </c>
      <c r="G15">
        <v>64.79968302294002</v>
      </c>
      <c r="H15">
        <v>11.87100131241092</v>
      </c>
      <c r="I15">
        <v>0</v>
      </c>
    </row>
    <row r="16" spans="1:10">
      <c r="A16" t="s">
        <v>127</v>
      </c>
      <c r="B16">
        <v>90</v>
      </c>
      <c r="C16">
        <v>0.45</v>
      </c>
      <c r="D16">
        <v>100</v>
      </c>
      <c r="E16" t="b">
        <v>0</v>
      </c>
      <c r="F16">
        <v>-3.441691376337985E-12</v>
      </c>
      <c r="G16">
        <v>51.21876582747655</v>
      </c>
      <c r="H16">
        <v>9.194351532660168</v>
      </c>
      <c r="I16">
        <v>0</v>
      </c>
    </row>
    <row r="17" spans="1:9">
      <c r="A17" t="s">
        <v>128</v>
      </c>
      <c r="B17">
        <v>120</v>
      </c>
      <c r="C17">
        <v>0.6</v>
      </c>
      <c r="D17">
        <v>40</v>
      </c>
      <c r="E17" t="b">
        <v>0</v>
      </c>
      <c r="F17">
        <v>2.209343819004062E-12</v>
      </c>
      <c r="G17">
        <v>56.23739887735477</v>
      </c>
      <c r="H17">
        <v>28.29840497795413</v>
      </c>
      <c r="I17">
        <v>0</v>
      </c>
    </row>
    <row r="18" spans="1:9">
      <c r="A18" t="s">
        <v>129</v>
      </c>
      <c r="B18">
        <v>120</v>
      </c>
      <c r="C18">
        <v>0.6</v>
      </c>
      <c r="D18">
        <v>60</v>
      </c>
      <c r="E18" t="b">
        <v>0</v>
      </c>
      <c r="F18">
        <v>2.209343819004062E-12</v>
      </c>
      <c r="G18">
        <v>45.44153959930853</v>
      </c>
      <c r="H18">
        <v>15.97912642094456</v>
      </c>
      <c r="I18">
        <v>0</v>
      </c>
    </row>
    <row r="19" spans="1:9">
      <c r="A19" t="s">
        <v>130</v>
      </c>
      <c r="B19">
        <v>120</v>
      </c>
      <c r="C19">
        <v>0.6</v>
      </c>
      <c r="D19">
        <v>80</v>
      </c>
      <c r="E19" t="b">
        <v>0</v>
      </c>
      <c r="F19">
        <v>2.19824158875781E-12</v>
      </c>
      <c r="G19">
        <v>32.5494156133772</v>
      </c>
      <c r="H19">
        <v>11.02321110249451</v>
      </c>
      <c r="I19">
        <v>0</v>
      </c>
    </row>
    <row r="20" spans="1:9">
      <c r="A20" t="s">
        <v>131</v>
      </c>
      <c r="B20">
        <v>120</v>
      </c>
      <c r="C20">
        <v>0.6</v>
      </c>
      <c r="D20">
        <v>100</v>
      </c>
      <c r="E20" t="b">
        <v>0</v>
      </c>
      <c r="F20">
        <v>7.487751896911899</v>
      </c>
      <c r="G20">
        <v>18.4592537577429</v>
      </c>
      <c r="H20">
        <v>8.407698695116553</v>
      </c>
      <c r="I20">
        <v>0</v>
      </c>
    </row>
    <row r="21" spans="1:9">
      <c r="A21" t="s">
        <v>132</v>
      </c>
      <c r="B21">
        <v>150</v>
      </c>
      <c r="C21">
        <v>0.75</v>
      </c>
      <c r="D21">
        <v>40</v>
      </c>
      <c r="E21" t="b">
        <v>0</v>
      </c>
      <c r="F21">
        <v>7.86960233679731</v>
      </c>
      <c r="G21">
        <v>25.67118629295353</v>
      </c>
      <c r="H21">
        <v>28.56717293068588</v>
      </c>
      <c r="I21">
        <v>0</v>
      </c>
    </row>
    <row r="22" spans="1:9">
      <c r="A22" t="s">
        <v>133</v>
      </c>
      <c r="B22">
        <v>150</v>
      </c>
      <c r="C22">
        <v>0.75</v>
      </c>
      <c r="D22">
        <v>60</v>
      </c>
      <c r="E22" t="b">
        <v>0</v>
      </c>
      <c r="F22">
        <v>21.45708628590693</v>
      </c>
      <c r="G22">
        <v>14.50122694854097</v>
      </c>
      <c r="H22">
        <v>15.64044549299203</v>
      </c>
      <c r="I22">
        <v>0</v>
      </c>
    </row>
    <row r="23" spans="1:9">
      <c r="A23" t="s">
        <v>134</v>
      </c>
      <c r="B23">
        <v>150</v>
      </c>
      <c r="C23">
        <v>0.75</v>
      </c>
      <c r="D23">
        <v>80</v>
      </c>
      <c r="E23" t="b">
        <v>0</v>
      </c>
      <c r="F23">
        <v>66.91570703242213</v>
      </c>
      <c r="G23">
        <v>1.440647481701517</v>
      </c>
      <c r="H23">
        <v>10.5733705924843</v>
      </c>
      <c r="I23">
        <v>2</v>
      </c>
    </row>
    <row r="24" spans="1:9">
      <c r="A24" t="s">
        <v>135</v>
      </c>
      <c r="B24">
        <v>150</v>
      </c>
      <c r="C24">
        <v>0.75</v>
      </c>
      <c r="D24">
        <v>100</v>
      </c>
      <c r="E24" t="b">
        <v>1</v>
      </c>
      <c r="F24">
        <v>63.08874791575288</v>
      </c>
      <c r="G24">
        <v>0</v>
      </c>
      <c r="H24">
        <v>7.805989400841937</v>
      </c>
      <c r="I24">
        <v>3</v>
      </c>
    </row>
    <row r="25" spans="1:9">
      <c r="A25" t="s">
        <v>136</v>
      </c>
      <c r="B25">
        <v>180</v>
      </c>
      <c r="C25">
        <v>0.9</v>
      </c>
      <c r="D25">
        <v>40</v>
      </c>
      <c r="E25" t="b">
        <v>0</v>
      </c>
      <c r="F25">
        <v>92.95742175760584</v>
      </c>
      <c r="G25">
        <v>0</v>
      </c>
      <c r="H25">
        <v>28.83715068836976</v>
      </c>
      <c r="I25">
        <v>0</v>
      </c>
    </row>
    <row r="26" spans="1:9">
      <c r="A26" t="s">
        <v>137</v>
      </c>
      <c r="B26">
        <v>180</v>
      </c>
      <c r="C26">
        <v>0.9</v>
      </c>
      <c r="D26">
        <v>60</v>
      </c>
      <c r="E26" t="b">
        <v>1</v>
      </c>
      <c r="F26">
        <v>84.86771239430099</v>
      </c>
      <c r="G26">
        <v>0</v>
      </c>
      <c r="H26">
        <v>15.07969039379593</v>
      </c>
      <c r="I26">
        <v>3</v>
      </c>
    </row>
    <row r="27" spans="1:9">
      <c r="A27" t="s">
        <v>138</v>
      </c>
      <c r="B27">
        <v>180</v>
      </c>
      <c r="C27">
        <v>0.9</v>
      </c>
      <c r="D27">
        <v>80</v>
      </c>
      <c r="E27" t="b">
        <v>1</v>
      </c>
      <c r="F27">
        <v>74.63236013278242</v>
      </c>
      <c r="G27">
        <v>0</v>
      </c>
      <c r="H27">
        <v>9.836179629585439</v>
      </c>
      <c r="I27">
        <v>3</v>
      </c>
    </row>
    <row r="28" spans="1:9">
      <c r="A28" t="s">
        <v>139</v>
      </c>
      <c r="B28">
        <v>180</v>
      </c>
      <c r="C28">
        <v>0.9</v>
      </c>
      <c r="D28">
        <v>100</v>
      </c>
      <c r="E28" t="b">
        <v>1</v>
      </c>
      <c r="F28">
        <v>63.08874791575288</v>
      </c>
      <c r="G28">
        <v>0</v>
      </c>
      <c r="H28">
        <v>7.19523750570769</v>
      </c>
      <c r="I28">
        <v>3</v>
      </c>
    </row>
  </sheetData>
  <autoFilter ref="A4:I28"/>
  <mergeCells count="2">
    <mergeCell ref="A1:J1"/>
    <mergeCell ref="A2:J2"/>
  </mergeCells>
  <pageMargins left="0.7" right="0.7" top="0.75" bottom="0.75" header="0.3" footer="0.3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3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42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</row>
    <row r="2" spans="1:42" ht="32" customHeight="1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</row>
    <row r="4" spans="1:42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80</v>
      </c>
      <c r="G4" s="5" t="s">
        <v>81</v>
      </c>
      <c r="H4" s="5" t="s">
        <v>82</v>
      </c>
      <c r="I4" s="5" t="s">
        <v>83</v>
      </c>
      <c r="J4" s="5" t="s">
        <v>84</v>
      </c>
      <c r="K4" s="5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90</v>
      </c>
      <c r="Q4" s="5" t="s">
        <v>91</v>
      </c>
      <c r="R4" s="5" t="s">
        <v>92</v>
      </c>
      <c r="S4" s="5" t="s">
        <v>93</v>
      </c>
      <c r="T4" s="5" t="s">
        <v>94</v>
      </c>
      <c r="U4" s="5" t="s">
        <v>95</v>
      </c>
      <c r="V4" s="5" t="s">
        <v>96</v>
      </c>
      <c r="W4" s="5" t="s">
        <v>97</v>
      </c>
      <c r="X4" s="5" t="s">
        <v>98</v>
      </c>
      <c r="Y4" s="5" t="s">
        <v>99</v>
      </c>
      <c r="Z4" s="5" t="s">
        <v>100</v>
      </c>
      <c r="AA4" s="5" t="s">
        <v>101</v>
      </c>
      <c r="AB4" s="5" t="s">
        <v>102</v>
      </c>
      <c r="AC4" s="5" t="s">
        <v>103</v>
      </c>
      <c r="AD4" s="5" t="s">
        <v>104</v>
      </c>
      <c r="AE4" s="5" t="s">
        <v>105</v>
      </c>
      <c r="AF4" s="5" t="s">
        <v>106</v>
      </c>
      <c r="AG4" s="5" t="s">
        <v>107</v>
      </c>
      <c r="AH4" s="5" t="s">
        <v>108</v>
      </c>
      <c r="AI4" s="5" t="s">
        <v>109</v>
      </c>
      <c r="AJ4" s="5" t="s">
        <v>110</v>
      </c>
      <c r="AK4" s="5" t="s">
        <v>111</v>
      </c>
      <c r="AL4" s="5" t="s">
        <v>112</v>
      </c>
      <c r="AM4" s="5" t="s">
        <v>113</v>
      </c>
      <c r="AN4" s="5" t="s">
        <v>159</v>
      </c>
      <c r="AO4" s="5" t="s">
        <v>160</v>
      </c>
      <c r="AP4" s="5" t="s">
        <v>161</v>
      </c>
    </row>
    <row r="5" spans="1:42">
      <c r="A5" t="s">
        <v>144</v>
      </c>
      <c r="B5">
        <v>50</v>
      </c>
      <c r="C5" t="s">
        <v>115</v>
      </c>
      <c r="D5">
        <v>1.875</v>
      </c>
      <c r="E5">
        <v>30</v>
      </c>
      <c r="F5">
        <v>95</v>
      </c>
      <c r="G5">
        <v>10</v>
      </c>
      <c r="H5">
        <v>0.62</v>
      </c>
      <c r="I5">
        <v>50</v>
      </c>
      <c r="J5">
        <v>147.6095149424029</v>
      </c>
      <c r="K5">
        <v>10</v>
      </c>
      <c r="L5">
        <v>157.6095149424029</v>
      </c>
      <c r="M5">
        <v>0</v>
      </c>
      <c r="N5">
        <v>0</v>
      </c>
      <c r="O5">
        <v>1.834375</v>
      </c>
      <c r="P5">
        <v>0.0541400918274772</v>
      </c>
      <c r="Q5">
        <v>59.984375</v>
      </c>
      <c r="R5" t="s">
        <v>135</v>
      </c>
      <c r="S5">
        <v>0.75</v>
      </c>
      <c r="T5">
        <v>150</v>
      </c>
      <c r="U5">
        <v>100</v>
      </c>
      <c r="V5">
        <v>0.0192907643666202</v>
      </c>
      <c r="W5">
        <v>64.36880006023607</v>
      </c>
      <c r="X5">
        <v>73.671875</v>
      </c>
      <c r="Y5">
        <v>108.8021403852607</v>
      </c>
      <c r="Z5">
        <v>0.5440107019263035</v>
      </c>
      <c r="AA5">
        <v>0</v>
      </c>
      <c r="AC5">
        <v>157.5196417602468</v>
      </c>
      <c r="AD5">
        <v>157.5196417602468</v>
      </c>
      <c r="AE5">
        <v>0.0898731826169866</v>
      </c>
      <c r="AF5">
        <v>7.373844002873446</v>
      </c>
      <c r="AG5">
        <v>-4.608752407486705E-10</v>
      </c>
      <c r="AH5">
        <v>2.924158740778395E-12</v>
      </c>
      <c r="AI5" t="b">
        <v>1</v>
      </c>
      <c r="AJ5" t="b">
        <v>1</v>
      </c>
      <c r="AK5" t="b">
        <v>1</v>
      </c>
      <c r="AL5">
        <v>0.3853775419993326</v>
      </c>
      <c r="AM5" t="b">
        <v>1</v>
      </c>
      <c r="AN5" t="s">
        <v>80</v>
      </c>
      <c r="AO5">
        <v>95</v>
      </c>
      <c r="AP5" t="b">
        <v>0</v>
      </c>
    </row>
    <row r="6" spans="1:42">
      <c r="A6" t="s">
        <v>145</v>
      </c>
      <c r="B6">
        <v>50</v>
      </c>
      <c r="C6" t="s">
        <v>141</v>
      </c>
      <c r="D6">
        <v>1.875</v>
      </c>
      <c r="E6">
        <v>30</v>
      </c>
      <c r="F6">
        <v>95</v>
      </c>
      <c r="G6">
        <v>10</v>
      </c>
      <c r="H6">
        <v>0.62</v>
      </c>
      <c r="I6">
        <v>50</v>
      </c>
      <c r="J6">
        <v>147.6095149424029</v>
      </c>
      <c r="K6">
        <v>9.999999999999998</v>
      </c>
      <c r="L6">
        <v>157.6095149424029</v>
      </c>
      <c r="M6">
        <v>0</v>
      </c>
      <c r="N6">
        <v>2.842170943040401E-14</v>
      </c>
      <c r="O6">
        <v>1.834375</v>
      </c>
      <c r="P6">
        <v>0.0614252435205727</v>
      </c>
      <c r="Q6">
        <v>29.984375</v>
      </c>
      <c r="R6" t="s">
        <v>135</v>
      </c>
      <c r="S6">
        <v>0.75</v>
      </c>
      <c r="T6">
        <v>150</v>
      </c>
      <c r="U6">
        <v>100</v>
      </c>
      <c r="V6">
        <v>0.0190140003930088</v>
      </c>
      <c r="W6">
        <v>69.04529912585424</v>
      </c>
      <c r="X6">
        <v>65.296875</v>
      </c>
      <c r="Y6">
        <v>105.9923439755498</v>
      </c>
      <c r="Z6">
        <v>0.5299617198777489</v>
      </c>
      <c r="AA6">
        <v>0</v>
      </c>
      <c r="AC6">
        <v>157.5205852615895</v>
      </c>
      <c r="AD6">
        <v>157.5205852615895</v>
      </c>
      <c r="AE6">
        <v>0.08892968129662809</v>
      </c>
      <c r="AF6">
        <v>7.222344253000416</v>
      </c>
      <c r="AG6">
        <v>-4.832772515506177E-10</v>
      </c>
      <c r="AH6">
        <v>3.066294898041071E-12</v>
      </c>
      <c r="AI6" t="b">
        <v>1</v>
      </c>
      <c r="AJ6" t="b">
        <v>1</v>
      </c>
      <c r="AK6" t="b">
        <v>1</v>
      </c>
      <c r="AL6">
        <v>0.3859485830180347</v>
      </c>
      <c r="AM6" t="b">
        <v>1</v>
      </c>
      <c r="AN6" t="s">
        <v>80</v>
      </c>
      <c r="AO6">
        <v>95</v>
      </c>
      <c r="AP6" t="b">
        <v>0</v>
      </c>
    </row>
    <row r="7" spans="1:42">
      <c r="A7" t="s">
        <v>146</v>
      </c>
      <c r="B7">
        <v>50</v>
      </c>
      <c r="C7" t="s">
        <v>143</v>
      </c>
      <c r="D7">
        <v>1.875</v>
      </c>
      <c r="E7">
        <v>30</v>
      </c>
      <c r="F7">
        <v>95</v>
      </c>
      <c r="G7">
        <v>10</v>
      </c>
      <c r="H7">
        <v>0.62</v>
      </c>
      <c r="I7">
        <v>50</v>
      </c>
      <c r="J7">
        <v>147.6095149424029</v>
      </c>
      <c r="K7">
        <v>10</v>
      </c>
      <c r="L7">
        <v>157.6095149424029</v>
      </c>
      <c r="M7">
        <v>0</v>
      </c>
      <c r="N7">
        <v>0</v>
      </c>
      <c r="O7">
        <v>1.834375</v>
      </c>
      <c r="P7">
        <v>0.0791583612781321</v>
      </c>
      <c r="Q7">
        <v>59.984375</v>
      </c>
      <c r="R7" t="s">
        <v>135</v>
      </c>
      <c r="S7">
        <v>0.75</v>
      </c>
      <c r="T7">
        <v>150</v>
      </c>
      <c r="U7">
        <v>100</v>
      </c>
      <c r="V7">
        <v>0.0199983762205587</v>
      </c>
      <c r="W7">
        <v>74.73624276999354</v>
      </c>
      <c r="X7">
        <v>76.390625</v>
      </c>
      <c r="Y7">
        <v>116.1712844485738</v>
      </c>
      <c r="Z7">
        <v>0.5808564222428693</v>
      </c>
      <c r="AA7">
        <v>0</v>
      </c>
      <c r="AC7">
        <v>157.518692923632</v>
      </c>
      <c r="AD7">
        <v>157.518692923632</v>
      </c>
      <c r="AE7">
        <v>0.09082201921859499</v>
      </c>
      <c r="AF7">
        <v>7.523813380211315</v>
      </c>
      <c r="AG7">
        <v>-4.476732040625819E-10</v>
      </c>
      <c r="AH7">
        <v>2.840394529646135E-12</v>
      </c>
      <c r="AI7" t="b">
        <v>1</v>
      </c>
      <c r="AJ7" t="b">
        <v>1</v>
      </c>
      <c r="AK7" t="b">
        <v>1</v>
      </c>
      <c r="AL7">
        <v>0.3857872909866273</v>
      </c>
      <c r="AM7" t="b">
        <v>1</v>
      </c>
      <c r="AN7" t="s">
        <v>80</v>
      </c>
      <c r="AO7">
        <v>95</v>
      </c>
      <c r="AP7" t="b">
        <v>0</v>
      </c>
    </row>
    <row r="8" spans="1:42">
      <c r="A8" t="s">
        <v>144</v>
      </c>
      <c r="B8">
        <v>50</v>
      </c>
      <c r="C8" t="s">
        <v>115</v>
      </c>
      <c r="D8">
        <v>1.875</v>
      </c>
      <c r="E8">
        <v>30</v>
      </c>
      <c r="F8">
        <v>98</v>
      </c>
      <c r="G8">
        <v>10</v>
      </c>
      <c r="H8">
        <v>0.62</v>
      </c>
      <c r="I8">
        <v>50</v>
      </c>
      <c r="J8">
        <v>177.1033712082752</v>
      </c>
      <c r="K8">
        <v>10</v>
      </c>
      <c r="L8">
        <v>187.1033712082752</v>
      </c>
      <c r="M8">
        <v>0</v>
      </c>
      <c r="N8">
        <v>0</v>
      </c>
      <c r="O8">
        <v>1.834375</v>
      </c>
      <c r="P8">
        <v>0.0574787903230887</v>
      </c>
      <c r="Q8">
        <v>59.984375</v>
      </c>
      <c r="R8" t="s">
        <v>135</v>
      </c>
      <c r="S8">
        <v>0.75</v>
      </c>
      <c r="T8">
        <v>150</v>
      </c>
      <c r="U8">
        <v>100</v>
      </c>
      <c r="V8">
        <v>0.0212161411911311</v>
      </c>
      <c r="W8">
        <v>63.08874791575288</v>
      </c>
      <c r="X8">
        <v>73.390625</v>
      </c>
      <c r="Y8">
        <v>129.4765422254501</v>
      </c>
      <c r="Z8">
        <v>0.6473827111272504</v>
      </c>
      <c r="AA8">
        <v>0</v>
      </c>
      <c r="AC8">
        <v>187.0117219569744</v>
      </c>
      <c r="AD8">
        <v>187.0117219569744</v>
      </c>
      <c r="AE8">
        <v>0.09164925189940749</v>
      </c>
      <c r="AF8">
        <v>7.652657663283192</v>
      </c>
      <c r="AG8">
        <v>-5.985852508105792E-10</v>
      </c>
      <c r="AH8">
        <v>3.199222156955477E-12</v>
      </c>
      <c r="AI8" t="b">
        <v>1</v>
      </c>
      <c r="AJ8" t="b">
        <v>1</v>
      </c>
      <c r="AK8" t="b">
        <v>1</v>
      </c>
      <c r="AL8">
        <v>0.3680935829179361</v>
      </c>
      <c r="AM8" t="b">
        <v>1</v>
      </c>
      <c r="AN8" t="s">
        <v>80</v>
      </c>
      <c r="AO8">
        <v>98</v>
      </c>
      <c r="AP8" t="b">
        <v>1</v>
      </c>
    </row>
    <row r="9" spans="1:42">
      <c r="A9" t="s">
        <v>145</v>
      </c>
      <c r="B9">
        <v>50</v>
      </c>
      <c r="C9" t="s">
        <v>141</v>
      </c>
      <c r="D9">
        <v>1.875</v>
      </c>
      <c r="E9">
        <v>30</v>
      </c>
      <c r="F9">
        <v>98</v>
      </c>
      <c r="G9">
        <v>10</v>
      </c>
      <c r="H9">
        <v>0.62</v>
      </c>
      <c r="I9">
        <v>50</v>
      </c>
      <c r="J9">
        <v>177.1033712082752</v>
      </c>
      <c r="K9">
        <v>9.999999999999998</v>
      </c>
      <c r="L9">
        <v>187.1033712082752</v>
      </c>
      <c r="M9">
        <v>0</v>
      </c>
      <c r="N9">
        <v>0</v>
      </c>
      <c r="O9">
        <v>1.834375</v>
      </c>
      <c r="P9">
        <v>0.0731913624882804</v>
      </c>
      <c r="Q9">
        <v>26.234375</v>
      </c>
      <c r="R9" t="s">
        <v>135</v>
      </c>
      <c r="S9">
        <v>0.75</v>
      </c>
      <c r="T9">
        <v>150</v>
      </c>
      <c r="U9">
        <v>100</v>
      </c>
      <c r="V9">
        <v>0.021044243487933</v>
      </c>
      <c r="W9">
        <v>71.24764074271368</v>
      </c>
      <c r="X9">
        <v>64.578125</v>
      </c>
      <c r="Y9">
        <v>127.5506103021315</v>
      </c>
      <c r="Z9">
        <v>0.6377530515106576</v>
      </c>
      <c r="AA9">
        <v>0</v>
      </c>
      <c r="AC9">
        <v>187.0126126290505</v>
      </c>
      <c r="AD9">
        <v>187.0126126290505</v>
      </c>
      <c r="AE9">
        <v>0.0907585798217137</v>
      </c>
      <c r="AF9">
        <v>7.513859819999553</v>
      </c>
      <c r="AG9">
        <v>-5.970587080295076E-10</v>
      </c>
      <c r="AH9">
        <v>3.191063336666918E-12</v>
      </c>
      <c r="AI9" t="b">
        <v>1</v>
      </c>
      <c r="AJ9" t="b">
        <v>1</v>
      </c>
      <c r="AK9" t="b">
        <v>1</v>
      </c>
      <c r="AL9">
        <v>0.3739093340700492</v>
      </c>
      <c r="AM9" t="b">
        <v>1</v>
      </c>
      <c r="AN9" t="s">
        <v>80</v>
      </c>
      <c r="AO9">
        <v>98</v>
      </c>
      <c r="AP9" t="b">
        <v>1</v>
      </c>
    </row>
    <row r="10" spans="1:42">
      <c r="A10" t="s">
        <v>146</v>
      </c>
      <c r="B10">
        <v>50</v>
      </c>
      <c r="C10" t="s">
        <v>143</v>
      </c>
      <c r="D10">
        <v>1.875</v>
      </c>
      <c r="E10">
        <v>30</v>
      </c>
      <c r="F10">
        <v>98</v>
      </c>
      <c r="G10">
        <v>10</v>
      </c>
      <c r="H10">
        <v>0.62</v>
      </c>
      <c r="I10">
        <v>50</v>
      </c>
      <c r="J10">
        <v>177.1033712082751</v>
      </c>
      <c r="K10">
        <v>10</v>
      </c>
      <c r="L10">
        <v>187.1033712082751</v>
      </c>
      <c r="M10">
        <v>0</v>
      </c>
      <c r="N10">
        <v>0</v>
      </c>
      <c r="O10">
        <v>1.834375</v>
      </c>
      <c r="P10">
        <v>0.0856739494173144</v>
      </c>
      <c r="Q10">
        <v>59.984375</v>
      </c>
      <c r="R10" t="s">
        <v>135</v>
      </c>
      <c r="S10">
        <v>0.75</v>
      </c>
      <c r="T10">
        <v>150</v>
      </c>
      <c r="U10">
        <v>100</v>
      </c>
      <c r="V10">
        <v>0.0219402108666138</v>
      </c>
      <c r="W10">
        <v>74.39103599655019</v>
      </c>
      <c r="X10">
        <v>76.171875</v>
      </c>
      <c r="Y10">
        <v>137.7613649883793</v>
      </c>
      <c r="Z10">
        <v>0.6888068249418966</v>
      </c>
      <c r="AA10">
        <v>0</v>
      </c>
      <c r="AC10">
        <v>187.0107226924737</v>
      </c>
      <c r="AD10">
        <v>187.0107226924737</v>
      </c>
      <c r="AE10">
        <v>0.0926485163734775</v>
      </c>
      <c r="AF10">
        <v>7.805989400841937</v>
      </c>
      <c r="AG10">
        <v>-5.720061230229945E-10</v>
      </c>
      <c r="AH10">
        <v>3.057166310414914E-12</v>
      </c>
      <c r="AI10" t="b">
        <v>1</v>
      </c>
      <c r="AJ10" t="b">
        <v>1</v>
      </c>
      <c r="AK10" t="b">
        <v>1</v>
      </c>
      <c r="AL10">
        <v>0.3689113749423995</v>
      </c>
      <c r="AM10" t="b">
        <v>1</v>
      </c>
      <c r="AN10" t="s">
        <v>80</v>
      </c>
      <c r="AO10">
        <v>98</v>
      </c>
      <c r="AP10" t="b">
        <v>1</v>
      </c>
    </row>
    <row r="11" spans="1:42">
      <c r="A11" t="s">
        <v>144</v>
      </c>
      <c r="B11">
        <v>50</v>
      </c>
      <c r="C11" t="s">
        <v>115</v>
      </c>
      <c r="D11">
        <v>1.875</v>
      </c>
      <c r="E11">
        <v>30</v>
      </c>
      <c r="F11">
        <v>100</v>
      </c>
      <c r="G11">
        <v>10</v>
      </c>
      <c r="H11">
        <v>0.62</v>
      </c>
      <c r="I11">
        <v>50</v>
      </c>
      <c r="J11">
        <v>200</v>
      </c>
      <c r="K11">
        <v>10</v>
      </c>
      <c r="L11">
        <v>210</v>
      </c>
      <c r="M11">
        <v>0</v>
      </c>
      <c r="N11">
        <v>0</v>
      </c>
      <c r="O11">
        <v>1.834375</v>
      </c>
      <c r="P11">
        <v>0.0583333333333338</v>
      </c>
      <c r="Q11">
        <v>55.265625</v>
      </c>
      <c r="R11" t="s">
        <v>135</v>
      </c>
      <c r="S11">
        <v>0.75</v>
      </c>
      <c r="T11">
        <v>150</v>
      </c>
      <c r="U11">
        <v>100</v>
      </c>
      <c r="V11">
        <v>0.0225194902276033</v>
      </c>
      <c r="W11">
        <v>61.39515960982314</v>
      </c>
      <c r="X11">
        <v>73.109375</v>
      </c>
      <c r="Y11">
        <v>144.5900881362402</v>
      </c>
      <c r="Z11">
        <v>0.7229504406812012</v>
      </c>
      <c r="AA11">
        <v>0</v>
      </c>
      <c r="AC11">
        <v>209.9071292448861</v>
      </c>
      <c r="AD11">
        <v>209.9071292448861</v>
      </c>
      <c r="AE11">
        <v>0.0928707557890895</v>
      </c>
      <c r="AF11">
        <v>7.839754005107051</v>
      </c>
      <c r="AG11">
        <v>-6.751683656602835E-10</v>
      </c>
      <c r="AH11">
        <v>3.21508745552516E-12</v>
      </c>
      <c r="AI11" t="b">
        <v>1</v>
      </c>
      <c r="AJ11" t="b">
        <v>1</v>
      </c>
      <c r="AK11" t="b">
        <v>1</v>
      </c>
      <c r="AL11">
        <v>0.3861538339406252</v>
      </c>
      <c r="AM11" t="b">
        <v>1</v>
      </c>
      <c r="AN11" t="s">
        <v>80</v>
      </c>
      <c r="AO11">
        <v>100</v>
      </c>
      <c r="AP11" t="b">
        <v>0</v>
      </c>
    </row>
    <row r="12" spans="1:42">
      <c r="A12" t="s">
        <v>145</v>
      </c>
      <c r="B12">
        <v>50</v>
      </c>
      <c r="C12" t="s">
        <v>141</v>
      </c>
      <c r="D12">
        <v>1.875</v>
      </c>
      <c r="E12">
        <v>30</v>
      </c>
      <c r="F12">
        <v>100</v>
      </c>
      <c r="G12">
        <v>10</v>
      </c>
      <c r="H12">
        <v>0.62</v>
      </c>
      <c r="I12">
        <v>50</v>
      </c>
      <c r="J12">
        <v>200</v>
      </c>
      <c r="K12">
        <v>9.999999999999998</v>
      </c>
      <c r="L12">
        <v>210</v>
      </c>
      <c r="M12">
        <v>0</v>
      </c>
      <c r="N12">
        <v>-2.842170943040401E-14</v>
      </c>
      <c r="O12">
        <v>1.834375</v>
      </c>
      <c r="P12">
        <v>0.0812354428627054</v>
      </c>
      <c r="Q12">
        <v>23.078125</v>
      </c>
      <c r="R12" t="s">
        <v>135</v>
      </c>
      <c r="S12">
        <v>0.75</v>
      </c>
      <c r="T12">
        <v>150</v>
      </c>
      <c r="U12">
        <v>100</v>
      </c>
      <c r="V12">
        <v>0.0224652630187025</v>
      </c>
      <c r="W12">
        <v>72.34549080175425</v>
      </c>
      <c r="X12">
        <v>63.796875</v>
      </c>
      <c r="Y12">
        <v>143.9432773235745</v>
      </c>
      <c r="Z12">
        <v>0.7197163866178726</v>
      </c>
      <c r="AA12">
        <v>0</v>
      </c>
      <c r="AC12">
        <v>209.9079420611385</v>
      </c>
      <c r="AD12">
        <v>209.9079420611385</v>
      </c>
      <c r="AE12">
        <v>0.0920579395300939</v>
      </c>
      <c r="AF12">
        <v>7.715670248009945</v>
      </c>
      <c r="AG12">
        <v>-6.686213249729177E-10</v>
      </c>
      <c r="AH12">
        <v>3.183911071299609E-12</v>
      </c>
      <c r="AI12" t="b">
        <v>1</v>
      </c>
      <c r="AJ12" t="b">
        <v>1</v>
      </c>
      <c r="AK12" t="b">
        <v>1</v>
      </c>
      <c r="AL12">
        <v>0.3753562089987099</v>
      </c>
      <c r="AM12" t="b">
        <v>1</v>
      </c>
      <c r="AN12" t="s">
        <v>80</v>
      </c>
      <c r="AO12">
        <v>100</v>
      </c>
      <c r="AP12" t="b">
        <v>0</v>
      </c>
    </row>
    <row r="13" spans="1:42">
      <c r="A13" t="s">
        <v>146</v>
      </c>
      <c r="B13">
        <v>50</v>
      </c>
      <c r="C13" t="s">
        <v>143</v>
      </c>
      <c r="D13">
        <v>1.875</v>
      </c>
      <c r="E13">
        <v>30</v>
      </c>
      <c r="F13">
        <v>100</v>
      </c>
      <c r="G13">
        <v>10</v>
      </c>
      <c r="H13">
        <v>0.62</v>
      </c>
      <c r="I13">
        <v>50</v>
      </c>
      <c r="J13">
        <v>200</v>
      </c>
      <c r="K13">
        <v>10</v>
      </c>
      <c r="L13">
        <v>210</v>
      </c>
      <c r="M13">
        <v>0</v>
      </c>
      <c r="N13">
        <v>0</v>
      </c>
      <c r="O13">
        <v>1.834375</v>
      </c>
      <c r="P13">
        <v>0.0875154062431667</v>
      </c>
      <c r="Q13">
        <v>59.984375</v>
      </c>
      <c r="R13" t="s">
        <v>135</v>
      </c>
      <c r="S13">
        <v>0.75</v>
      </c>
      <c r="T13">
        <v>150</v>
      </c>
      <c r="U13">
        <v>100</v>
      </c>
      <c r="V13">
        <v>0.0461601278825734</v>
      </c>
      <c r="W13">
        <v>47.25485504310542</v>
      </c>
      <c r="X13">
        <v>71.640625</v>
      </c>
      <c r="Y13">
        <v>150</v>
      </c>
      <c r="Z13">
        <v>0.75</v>
      </c>
      <c r="AA13">
        <v>2.841103393309644</v>
      </c>
      <c r="AB13">
        <v>71.59375</v>
      </c>
      <c r="AC13">
        <v>207.0652672717552</v>
      </c>
      <c r="AD13">
        <v>209.9063706650648</v>
      </c>
      <c r="AE13">
        <v>0.0936293355417738</v>
      </c>
      <c r="AF13">
        <v>7.954097360052254</v>
      </c>
      <c r="AG13">
        <v>-6.066009639038582E-10</v>
      </c>
      <c r="AH13">
        <v>2.888576018589801E-12</v>
      </c>
      <c r="AI13" t="b">
        <v>0</v>
      </c>
      <c r="AJ13" t="b">
        <v>0</v>
      </c>
      <c r="AK13" t="b">
        <v>1</v>
      </c>
      <c r="AL13">
        <v>0.377752500004135</v>
      </c>
      <c r="AM13" t="b">
        <v>0</v>
      </c>
      <c r="AN13" t="s">
        <v>80</v>
      </c>
      <c r="AO13">
        <v>100</v>
      </c>
      <c r="AP13" t="b">
        <v>0</v>
      </c>
    </row>
    <row r="14" spans="1:42">
      <c r="A14" t="s">
        <v>144</v>
      </c>
      <c r="B14">
        <v>50</v>
      </c>
      <c r="C14" t="s">
        <v>115</v>
      </c>
      <c r="D14">
        <v>1.875</v>
      </c>
      <c r="E14">
        <v>30</v>
      </c>
      <c r="F14">
        <v>98</v>
      </c>
      <c r="G14">
        <v>5</v>
      </c>
      <c r="H14">
        <v>0.62</v>
      </c>
      <c r="I14">
        <v>50</v>
      </c>
      <c r="J14">
        <v>177.1033712082752</v>
      </c>
      <c r="K14">
        <v>10</v>
      </c>
      <c r="L14">
        <v>187.1033712082752</v>
      </c>
      <c r="M14">
        <v>0</v>
      </c>
      <c r="N14">
        <v>0</v>
      </c>
      <c r="O14">
        <v>1.417708333333333</v>
      </c>
      <c r="P14">
        <v>0.057698131099488</v>
      </c>
      <c r="Q14">
        <v>59.984375</v>
      </c>
      <c r="R14" t="s">
        <v>135</v>
      </c>
      <c r="S14">
        <v>0.75</v>
      </c>
      <c r="T14">
        <v>150</v>
      </c>
      <c r="U14">
        <v>100</v>
      </c>
      <c r="V14">
        <v>0.0216551475128653</v>
      </c>
      <c r="W14">
        <v>62.46819940228967</v>
      </c>
      <c r="X14">
        <v>66.640625</v>
      </c>
      <c r="Y14">
        <v>134.4664111072955</v>
      </c>
      <c r="Z14">
        <v>0.6723320555364777</v>
      </c>
      <c r="AA14">
        <v>0</v>
      </c>
      <c r="AC14">
        <v>187.0123591695597</v>
      </c>
      <c r="AD14">
        <v>187.0123591695597</v>
      </c>
      <c r="AE14">
        <v>0.0910120393027025</v>
      </c>
      <c r="AF14">
        <v>7.553564994340793</v>
      </c>
      <c r="AG14">
        <v>-5.87183621170162E-10</v>
      </c>
      <c r="AH14">
        <v>3.138284560979584E-12</v>
      </c>
      <c r="AI14" t="b">
        <v>1</v>
      </c>
      <c r="AJ14" t="b">
        <v>1</v>
      </c>
      <c r="AK14" t="b">
        <v>1</v>
      </c>
      <c r="AL14">
        <v>0.3718954159412533</v>
      </c>
      <c r="AM14" t="b">
        <v>1</v>
      </c>
      <c r="AN14" t="s">
        <v>81</v>
      </c>
      <c r="AO14">
        <v>5</v>
      </c>
      <c r="AP14" t="b">
        <v>0</v>
      </c>
    </row>
    <row r="15" spans="1:42">
      <c r="A15" t="s">
        <v>145</v>
      </c>
      <c r="B15">
        <v>50</v>
      </c>
      <c r="C15" t="s">
        <v>141</v>
      </c>
      <c r="D15">
        <v>1.875</v>
      </c>
      <c r="E15">
        <v>30</v>
      </c>
      <c r="F15">
        <v>98</v>
      </c>
      <c r="G15">
        <v>5</v>
      </c>
      <c r="H15">
        <v>0.62</v>
      </c>
      <c r="I15">
        <v>50</v>
      </c>
      <c r="J15">
        <v>177.1033712082752</v>
      </c>
      <c r="K15">
        <v>9.999999999999998</v>
      </c>
      <c r="L15">
        <v>187.1033712082752</v>
      </c>
      <c r="M15">
        <v>0</v>
      </c>
      <c r="N15">
        <v>0</v>
      </c>
      <c r="O15">
        <v>1.417708333333333</v>
      </c>
      <c r="P15">
        <v>0.07965030484263171</v>
      </c>
      <c r="Q15">
        <v>19.984375</v>
      </c>
      <c r="R15" t="s">
        <v>135</v>
      </c>
      <c r="S15">
        <v>0.75</v>
      </c>
      <c r="T15">
        <v>150</v>
      </c>
      <c r="U15">
        <v>100</v>
      </c>
      <c r="V15">
        <v>0.0212616884827236</v>
      </c>
      <c r="W15">
        <v>73.3062057643958</v>
      </c>
      <c r="X15">
        <v>57.515625</v>
      </c>
      <c r="Y15">
        <v>129.9894833981626</v>
      </c>
      <c r="Z15">
        <v>0.6499474169908132</v>
      </c>
      <c r="AA15">
        <v>0</v>
      </c>
      <c r="AC15">
        <v>187.0132282979901</v>
      </c>
      <c r="AD15">
        <v>187.0132282979901</v>
      </c>
      <c r="AE15">
        <v>0.0901429108855132</v>
      </c>
      <c r="AF15">
        <v>7.416716976138398</v>
      </c>
      <c r="AG15">
        <v>-6.003893215922318E-10</v>
      </c>
      <c r="AH15">
        <v>3.208864264256922E-12</v>
      </c>
      <c r="AI15" t="b">
        <v>1</v>
      </c>
      <c r="AJ15" t="b">
        <v>1</v>
      </c>
      <c r="AK15" t="b">
        <v>1</v>
      </c>
      <c r="AL15">
        <v>0.3688473750371486</v>
      </c>
      <c r="AM15" t="b">
        <v>1</v>
      </c>
      <c r="AN15" t="s">
        <v>81</v>
      </c>
      <c r="AO15">
        <v>5</v>
      </c>
      <c r="AP15" t="b">
        <v>0</v>
      </c>
    </row>
    <row r="16" spans="1:42">
      <c r="A16" t="s">
        <v>146</v>
      </c>
      <c r="B16">
        <v>50</v>
      </c>
      <c r="C16" t="s">
        <v>143</v>
      </c>
      <c r="D16">
        <v>1.875</v>
      </c>
      <c r="E16">
        <v>30</v>
      </c>
      <c r="F16">
        <v>98</v>
      </c>
      <c r="G16">
        <v>5</v>
      </c>
      <c r="H16">
        <v>0.62</v>
      </c>
      <c r="I16">
        <v>50</v>
      </c>
      <c r="J16">
        <v>177.1033712082752</v>
      </c>
      <c r="K16">
        <v>10</v>
      </c>
      <c r="L16">
        <v>187.1033712082752</v>
      </c>
      <c r="M16">
        <v>0</v>
      </c>
      <c r="N16">
        <v>0</v>
      </c>
      <c r="O16">
        <v>1.417708333333333</v>
      </c>
      <c r="P16">
        <v>0.096581820500086</v>
      </c>
      <c r="Q16">
        <v>59.984375</v>
      </c>
      <c r="R16" t="s">
        <v>135</v>
      </c>
      <c r="S16">
        <v>0.75</v>
      </c>
      <c r="T16">
        <v>150</v>
      </c>
      <c r="U16">
        <v>100</v>
      </c>
      <c r="V16">
        <v>0.0225369204862432</v>
      </c>
      <c r="W16">
        <v>76.66546315905988</v>
      </c>
      <c r="X16">
        <v>68.109375</v>
      </c>
      <c r="Y16">
        <v>144.7983244083942</v>
      </c>
      <c r="Z16">
        <v>0.723991622041971</v>
      </c>
      <c r="AA16">
        <v>0</v>
      </c>
      <c r="AC16">
        <v>187.0113623324017</v>
      </c>
      <c r="AD16">
        <v>187.0113623324017</v>
      </c>
      <c r="AE16">
        <v>0.0920088764412138</v>
      </c>
      <c r="AF16">
        <v>7.708127756438143</v>
      </c>
      <c r="AG16">
        <v>-5.676962233636117E-10</v>
      </c>
      <c r="AH16">
        <v>3.034131452028609E-12</v>
      </c>
      <c r="AI16" t="b">
        <v>1</v>
      </c>
      <c r="AJ16" t="b">
        <v>1</v>
      </c>
      <c r="AK16" t="b">
        <v>1</v>
      </c>
      <c r="AL16">
        <v>0.3770813749870285</v>
      </c>
      <c r="AM16" t="b">
        <v>1</v>
      </c>
      <c r="AN16" t="s">
        <v>81</v>
      </c>
      <c r="AO16">
        <v>5</v>
      </c>
      <c r="AP16" t="b">
        <v>0</v>
      </c>
    </row>
    <row r="17" spans="1:42">
      <c r="A17" t="s">
        <v>144</v>
      </c>
      <c r="B17">
        <v>50</v>
      </c>
      <c r="C17" t="s">
        <v>115</v>
      </c>
      <c r="D17">
        <v>1.875</v>
      </c>
      <c r="E17">
        <v>30</v>
      </c>
      <c r="F17">
        <v>98</v>
      </c>
      <c r="G17">
        <v>10</v>
      </c>
      <c r="H17">
        <v>0.62</v>
      </c>
      <c r="I17">
        <v>50</v>
      </c>
      <c r="J17">
        <v>177.1033712082752</v>
      </c>
      <c r="K17">
        <v>10</v>
      </c>
      <c r="L17">
        <v>187.1033712082752</v>
      </c>
      <c r="M17">
        <v>0</v>
      </c>
      <c r="N17">
        <v>0</v>
      </c>
      <c r="O17">
        <v>1.834375</v>
      </c>
      <c r="P17">
        <v>0.0574787903230887</v>
      </c>
      <c r="Q17">
        <v>59.984375</v>
      </c>
      <c r="R17" t="s">
        <v>135</v>
      </c>
      <c r="S17">
        <v>0.75</v>
      </c>
      <c r="T17">
        <v>150</v>
      </c>
      <c r="U17">
        <v>100</v>
      </c>
      <c r="V17">
        <v>0.0212161411911311</v>
      </c>
      <c r="W17">
        <v>63.08874791575288</v>
      </c>
      <c r="X17">
        <v>73.390625</v>
      </c>
      <c r="Y17">
        <v>129.4765422254501</v>
      </c>
      <c r="Z17">
        <v>0.6473827111272504</v>
      </c>
      <c r="AA17">
        <v>0</v>
      </c>
      <c r="AC17">
        <v>187.0117219569744</v>
      </c>
      <c r="AD17">
        <v>187.0117219569744</v>
      </c>
      <c r="AE17">
        <v>0.09164925189940749</v>
      </c>
      <c r="AF17">
        <v>7.652657663283192</v>
      </c>
      <c r="AG17">
        <v>-5.985852508105792E-10</v>
      </c>
      <c r="AH17">
        <v>3.199222156955477E-12</v>
      </c>
      <c r="AI17" t="b">
        <v>1</v>
      </c>
      <c r="AJ17" t="b">
        <v>1</v>
      </c>
      <c r="AK17" t="b">
        <v>1</v>
      </c>
      <c r="AL17">
        <v>0.3895985000999644</v>
      </c>
      <c r="AM17" t="b">
        <v>1</v>
      </c>
      <c r="AN17" t="s">
        <v>81</v>
      </c>
      <c r="AO17">
        <v>10</v>
      </c>
      <c r="AP17" t="b">
        <v>1</v>
      </c>
    </row>
    <row r="18" spans="1:42">
      <c r="A18" t="s">
        <v>145</v>
      </c>
      <c r="B18">
        <v>50</v>
      </c>
      <c r="C18" t="s">
        <v>141</v>
      </c>
      <c r="D18">
        <v>1.875</v>
      </c>
      <c r="E18">
        <v>30</v>
      </c>
      <c r="F18">
        <v>98</v>
      </c>
      <c r="G18">
        <v>10</v>
      </c>
      <c r="H18">
        <v>0.62</v>
      </c>
      <c r="I18">
        <v>50</v>
      </c>
      <c r="J18">
        <v>177.1033712082752</v>
      </c>
      <c r="K18">
        <v>9.999999999999998</v>
      </c>
      <c r="L18">
        <v>187.1033712082752</v>
      </c>
      <c r="M18">
        <v>0</v>
      </c>
      <c r="N18">
        <v>0</v>
      </c>
      <c r="O18">
        <v>1.834375</v>
      </c>
      <c r="P18">
        <v>0.0731913624882804</v>
      </c>
      <c r="Q18">
        <v>26.234375</v>
      </c>
      <c r="R18" t="s">
        <v>135</v>
      </c>
      <c r="S18">
        <v>0.75</v>
      </c>
      <c r="T18">
        <v>150</v>
      </c>
      <c r="U18">
        <v>100</v>
      </c>
      <c r="V18">
        <v>0.021044243487933</v>
      </c>
      <c r="W18">
        <v>71.24764074271368</v>
      </c>
      <c r="X18">
        <v>64.578125</v>
      </c>
      <c r="Y18">
        <v>127.5506103021315</v>
      </c>
      <c r="Z18">
        <v>0.6377530515106576</v>
      </c>
      <c r="AA18">
        <v>0</v>
      </c>
      <c r="AC18">
        <v>187.0126126290505</v>
      </c>
      <c r="AD18">
        <v>187.0126126290505</v>
      </c>
      <c r="AE18">
        <v>0.0907585798217137</v>
      </c>
      <c r="AF18">
        <v>7.513859819999553</v>
      </c>
      <c r="AG18">
        <v>-5.970587080295076E-10</v>
      </c>
      <c r="AH18">
        <v>3.191063336666918E-12</v>
      </c>
      <c r="AI18" t="b">
        <v>1</v>
      </c>
      <c r="AJ18" t="b">
        <v>1</v>
      </c>
      <c r="AK18" t="b">
        <v>1</v>
      </c>
      <c r="AL18">
        <v>0.3976736250333488</v>
      </c>
      <c r="AM18" t="b">
        <v>1</v>
      </c>
      <c r="AN18" t="s">
        <v>81</v>
      </c>
      <c r="AO18">
        <v>10</v>
      </c>
      <c r="AP18" t="b">
        <v>1</v>
      </c>
    </row>
    <row r="19" spans="1:42">
      <c r="A19" t="s">
        <v>146</v>
      </c>
      <c r="B19">
        <v>50</v>
      </c>
      <c r="C19" t="s">
        <v>143</v>
      </c>
      <c r="D19">
        <v>1.875</v>
      </c>
      <c r="E19">
        <v>30</v>
      </c>
      <c r="F19">
        <v>98</v>
      </c>
      <c r="G19">
        <v>10</v>
      </c>
      <c r="H19">
        <v>0.62</v>
      </c>
      <c r="I19">
        <v>50</v>
      </c>
      <c r="J19">
        <v>177.1033712082751</v>
      </c>
      <c r="K19">
        <v>10</v>
      </c>
      <c r="L19">
        <v>187.1033712082751</v>
      </c>
      <c r="M19">
        <v>0</v>
      </c>
      <c r="N19">
        <v>0</v>
      </c>
      <c r="O19">
        <v>1.834375</v>
      </c>
      <c r="P19">
        <v>0.0856739494173144</v>
      </c>
      <c r="Q19">
        <v>59.984375</v>
      </c>
      <c r="R19" t="s">
        <v>135</v>
      </c>
      <c r="S19">
        <v>0.75</v>
      </c>
      <c r="T19">
        <v>150</v>
      </c>
      <c r="U19">
        <v>100</v>
      </c>
      <c r="V19">
        <v>0.0219402108666138</v>
      </c>
      <c r="W19">
        <v>74.39103599655019</v>
      </c>
      <c r="X19">
        <v>76.171875</v>
      </c>
      <c r="Y19">
        <v>137.7613649883793</v>
      </c>
      <c r="Z19">
        <v>0.6888068249418966</v>
      </c>
      <c r="AA19">
        <v>0</v>
      </c>
      <c r="AC19">
        <v>187.0107226924737</v>
      </c>
      <c r="AD19">
        <v>187.0107226924737</v>
      </c>
      <c r="AE19">
        <v>0.0926485163734775</v>
      </c>
      <c r="AF19">
        <v>7.805989400841937</v>
      </c>
      <c r="AG19">
        <v>-5.720061230229945E-10</v>
      </c>
      <c r="AH19">
        <v>3.057166310414914E-12</v>
      </c>
      <c r="AI19" t="b">
        <v>1</v>
      </c>
      <c r="AJ19" t="b">
        <v>1</v>
      </c>
      <c r="AK19" t="b">
        <v>1</v>
      </c>
      <c r="AL19">
        <v>0.4063030830584466</v>
      </c>
      <c r="AM19" t="b">
        <v>1</v>
      </c>
      <c r="AN19" t="s">
        <v>81</v>
      </c>
      <c r="AO19">
        <v>10</v>
      </c>
      <c r="AP19" t="b">
        <v>1</v>
      </c>
    </row>
    <row r="20" spans="1:42">
      <c r="A20" t="s">
        <v>144</v>
      </c>
      <c r="B20">
        <v>50</v>
      </c>
      <c r="C20" t="s">
        <v>115</v>
      </c>
      <c r="D20">
        <v>1.875</v>
      </c>
      <c r="E20">
        <v>30</v>
      </c>
      <c r="F20">
        <v>98</v>
      </c>
      <c r="G20">
        <v>15</v>
      </c>
      <c r="H20">
        <v>0.62</v>
      </c>
      <c r="I20">
        <v>50</v>
      </c>
      <c r="J20">
        <v>177.1033712082752</v>
      </c>
      <c r="K20">
        <v>10</v>
      </c>
      <c r="L20">
        <v>187.1033712082752</v>
      </c>
      <c r="M20">
        <v>0</v>
      </c>
      <c r="N20">
        <v>0</v>
      </c>
      <c r="O20">
        <v>2.251041666666667</v>
      </c>
      <c r="P20">
        <v>0.056691839322457</v>
      </c>
      <c r="Q20">
        <v>59.984375</v>
      </c>
      <c r="R20" t="s">
        <v>135</v>
      </c>
      <c r="S20">
        <v>0.75</v>
      </c>
      <c r="T20">
        <v>150</v>
      </c>
      <c r="U20">
        <v>100</v>
      </c>
      <c r="V20">
        <v>0.0207481363794066</v>
      </c>
      <c r="W20">
        <v>63.40189941378785</v>
      </c>
      <c r="X20">
        <v>80.296875</v>
      </c>
      <c r="Y20">
        <v>124.2698724634308</v>
      </c>
      <c r="Z20">
        <v>0.621349362317154</v>
      </c>
      <c r="AA20">
        <v>0</v>
      </c>
      <c r="AC20">
        <v>187.0110864727644</v>
      </c>
      <c r="AD20">
        <v>187.0110864727644</v>
      </c>
      <c r="AE20">
        <v>0.0922847361042673</v>
      </c>
      <c r="AF20">
        <v>7.750457635146518</v>
      </c>
      <c r="AG20">
        <v>-5.934797098205991E-10</v>
      </c>
      <c r="AH20">
        <v>3.171934882776451E-12</v>
      </c>
      <c r="AI20" t="b">
        <v>1</v>
      </c>
      <c r="AJ20" t="b">
        <v>1</v>
      </c>
      <c r="AK20" t="b">
        <v>1</v>
      </c>
      <c r="AL20">
        <v>0.3888176250038668</v>
      </c>
      <c r="AM20" t="b">
        <v>1</v>
      </c>
      <c r="AN20" t="s">
        <v>81</v>
      </c>
      <c r="AO20">
        <v>15</v>
      </c>
      <c r="AP20" t="b">
        <v>0</v>
      </c>
    </row>
    <row r="21" spans="1:42">
      <c r="A21" t="s">
        <v>145</v>
      </c>
      <c r="B21">
        <v>50</v>
      </c>
      <c r="C21" t="s">
        <v>141</v>
      </c>
      <c r="D21">
        <v>1.875</v>
      </c>
      <c r="E21">
        <v>30</v>
      </c>
      <c r="F21">
        <v>98</v>
      </c>
      <c r="G21">
        <v>15</v>
      </c>
      <c r="H21">
        <v>0.62</v>
      </c>
      <c r="I21">
        <v>50</v>
      </c>
      <c r="J21">
        <v>177.1033712082752</v>
      </c>
      <c r="K21">
        <v>9.999999999999998</v>
      </c>
      <c r="L21">
        <v>187.1033712082752</v>
      </c>
      <c r="M21">
        <v>0</v>
      </c>
      <c r="N21">
        <v>0</v>
      </c>
      <c r="O21">
        <v>2.251041666666667</v>
      </c>
      <c r="P21">
        <v>0.0661889776760273</v>
      </c>
      <c r="Q21">
        <v>34.078125</v>
      </c>
      <c r="R21" t="s">
        <v>135</v>
      </c>
      <c r="S21">
        <v>0.75</v>
      </c>
      <c r="T21">
        <v>150</v>
      </c>
      <c r="U21">
        <v>100</v>
      </c>
      <c r="V21">
        <v>0.0207012486936501</v>
      </c>
      <c r="W21">
        <v>68.72402411927898</v>
      </c>
      <c r="X21">
        <v>71.109375</v>
      </c>
      <c r="Y21">
        <v>123.7546516158796</v>
      </c>
      <c r="Z21">
        <v>0.6187732580793979</v>
      </c>
      <c r="AA21">
        <v>0</v>
      </c>
      <c r="AC21">
        <v>187.0119998071235</v>
      </c>
      <c r="AD21">
        <v>187.0119998071235</v>
      </c>
      <c r="AE21">
        <v>0.0913714017532845</v>
      </c>
      <c r="AF21">
        <v>7.609576770616206</v>
      </c>
      <c r="AG21">
        <v>-6.01622807128166E-10</v>
      </c>
      <c r="AH21">
        <v>3.215456799324402E-12</v>
      </c>
      <c r="AI21" t="b">
        <v>1</v>
      </c>
      <c r="AJ21" t="b">
        <v>1</v>
      </c>
      <c r="AK21" t="b">
        <v>1</v>
      </c>
      <c r="AL21">
        <v>0.4423551249783486</v>
      </c>
      <c r="AM21" t="b">
        <v>1</v>
      </c>
      <c r="AN21" t="s">
        <v>81</v>
      </c>
      <c r="AO21">
        <v>15</v>
      </c>
      <c r="AP21" t="b">
        <v>0</v>
      </c>
    </row>
    <row r="22" spans="1:42">
      <c r="A22" t="s">
        <v>146</v>
      </c>
      <c r="B22">
        <v>50</v>
      </c>
      <c r="C22" t="s">
        <v>143</v>
      </c>
      <c r="D22">
        <v>1.875</v>
      </c>
      <c r="E22">
        <v>30</v>
      </c>
      <c r="F22">
        <v>98</v>
      </c>
      <c r="G22">
        <v>15</v>
      </c>
      <c r="H22">
        <v>0.62</v>
      </c>
      <c r="I22">
        <v>50</v>
      </c>
      <c r="J22">
        <v>177.1033712082752</v>
      </c>
      <c r="K22">
        <v>10</v>
      </c>
      <c r="L22">
        <v>187.1033712082751</v>
      </c>
      <c r="M22">
        <v>0</v>
      </c>
      <c r="N22">
        <v>0</v>
      </c>
      <c r="O22">
        <v>2.251041666666667</v>
      </c>
      <c r="P22">
        <v>0.07589589296070449</v>
      </c>
      <c r="Q22">
        <v>65.890625</v>
      </c>
      <c r="R22" t="s">
        <v>135</v>
      </c>
      <c r="S22">
        <v>0.75</v>
      </c>
      <c r="T22">
        <v>150</v>
      </c>
      <c r="U22">
        <v>100</v>
      </c>
      <c r="V22">
        <v>0.0213436689469621</v>
      </c>
      <c r="W22">
        <v>71.87770231781455</v>
      </c>
      <c r="X22">
        <v>84.046875</v>
      </c>
      <c r="Y22">
        <v>130.9155032428806</v>
      </c>
      <c r="Z22">
        <v>0.6545775162144032</v>
      </c>
      <c r="AA22">
        <v>0</v>
      </c>
      <c r="AC22">
        <v>187.010087317415</v>
      </c>
      <c r="AD22">
        <v>187.010087317415</v>
      </c>
      <c r="AE22">
        <v>0.09328389143436119</v>
      </c>
      <c r="AF22">
        <v>7.902200338074402</v>
      </c>
      <c r="AG22">
        <v>-5.742257919161274E-10</v>
      </c>
      <c r="AH22">
        <v>3.069029639647299E-12</v>
      </c>
      <c r="AI22" t="b">
        <v>1</v>
      </c>
      <c r="AJ22" t="b">
        <v>1</v>
      </c>
      <c r="AK22" t="b">
        <v>1</v>
      </c>
      <c r="AL22">
        <v>0.3926957079675048</v>
      </c>
      <c r="AM22" t="b">
        <v>1</v>
      </c>
      <c r="AN22" t="s">
        <v>81</v>
      </c>
      <c r="AO22">
        <v>15</v>
      </c>
      <c r="AP22" t="b">
        <v>0</v>
      </c>
    </row>
    <row r="23" spans="1:42">
      <c r="A23" t="s">
        <v>144</v>
      </c>
      <c r="B23">
        <v>50</v>
      </c>
      <c r="C23" t="s">
        <v>115</v>
      </c>
      <c r="D23">
        <v>1.875</v>
      </c>
      <c r="E23">
        <v>30</v>
      </c>
      <c r="F23">
        <v>98</v>
      </c>
      <c r="G23">
        <v>10</v>
      </c>
      <c r="H23">
        <v>0.5</v>
      </c>
      <c r="I23">
        <v>50</v>
      </c>
      <c r="J23">
        <v>177.1033712082752</v>
      </c>
      <c r="K23">
        <v>10</v>
      </c>
      <c r="L23">
        <v>187.1033712082752</v>
      </c>
      <c r="M23">
        <v>0</v>
      </c>
      <c r="N23">
        <v>0</v>
      </c>
      <c r="O23">
        <v>1.834375</v>
      </c>
      <c r="P23">
        <v>0.0574787903230887</v>
      </c>
      <c r="Q23">
        <v>59.984375</v>
      </c>
      <c r="R23" t="s">
        <v>135</v>
      </c>
      <c r="S23">
        <v>0.75</v>
      </c>
      <c r="T23">
        <v>150</v>
      </c>
      <c r="U23">
        <v>100</v>
      </c>
      <c r="V23">
        <v>0.0177265063612957</v>
      </c>
      <c r="W23">
        <v>69.15991749016487</v>
      </c>
      <c r="X23">
        <v>74.484375</v>
      </c>
      <c r="Y23">
        <v>138.2348246472919</v>
      </c>
      <c r="Z23">
        <v>0.6911741232364593</v>
      </c>
      <c r="AA23">
        <v>0</v>
      </c>
      <c r="AC23">
        <v>186.960104440535</v>
      </c>
      <c r="AD23">
        <v>186.960104440535</v>
      </c>
      <c r="AE23">
        <v>0.1432667680733721</v>
      </c>
      <c r="AF23">
        <v>9.568177446043272</v>
      </c>
      <c r="AG23">
        <v>-3.331855347177282E-10</v>
      </c>
      <c r="AH23">
        <v>1.780756447978913E-12</v>
      </c>
      <c r="AI23" t="b">
        <v>1</v>
      </c>
      <c r="AJ23" t="b">
        <v>1</v>
      </c>
      <c r="AK23" t="b">
        <v>1</v>
      </c>
      <c r="AL23">
        <v>0.3767007919959724</v>
      </c>
      <c r="AM23" t="b">
        <v>1</v>
      </c>
      <c r="AN23" t="s">
        <v>82</v>
      </c>
      <c r="AO23">
        <v>0.5</v>
      </c>
      <c r="AP23" t="b">
        <v>0</v>
      </c>
    </row>
    <row r="24" spans="1:42">
      <c r="A24" t="s">
        <v>145</v>
      </c>
      <c r="B24">
        <v>50</v>
      </c>
      <c r="C24" t="s">
        <v>141</v>
      </c>
      <c r="D24">
        <v>1.875</v>
      </c>
      <c r="E24">
        <v>30</v>
      </c>
      <c r="F24">
        <v>98</v>
      </c>
      <c r="G24">
        <v>10</v>
      </c>
      <c r="H24">
        <v>0.5</v>
      </c>
      <c r="I24">
        <v>50</v>
      </c>
      <c r="J24">
        <v>177.1033712082752</v>
      </c>
      <c r="K24">
        <v>9.999999999999998</v>
      </c>
      <c r="L24">
        <v>187.1033712082752</v>
      </c>
      <c r="M24">
        <v>0</v>
      </c>
      <c r="N24">
        <v>0</v>
      </c>
      <c r="O24">
        <v>1.834375</v>
      </c>
      <c r="P24">
        <v>0.0731913624882804</v>
      </c>
      <c r="Q24">
        <v>26.234375</v>
      </c>
      <c r="R24" t="s">
        <v>135</v>
      </c>
      <c r="S24">
        <v>0.75</v>
      </c>
      <c r="T24">
        <v>150</v>
      </c>
      <c r="U24">
        <v>100</v>
      </c>
      <c r="V24">
        <v>0.0176016328384521</v>
      </c>
      <c r="W24">
        <v>75.95121577184662</v>
      </c>
      <c r="X24">
        <v>66.765625</v>
      </c>
      <c r="Y24">
        <v>136.4363405861907</v>
      </c>
      <c r="Z24">
        <v>0.6821817029309536</v>
      </c>
      <c r="AA24">
        <v>0</v>
      </c>
      <c r="AC24">
        <v>186.9614942290911</v>
      </c>
      <c r="AD24">
        <v>186.9614942290911</v>
      </c>
      <c r="AE24">
        <v>0.141876979507614</v>
      </c>
      <c r="AF24">
        <v>9.430771715466705</v>
      </c>
      <c r="AG24">
        <v>-3.235381129673698E-10</v>
      </c>
      <c r="AH24">
        <v>1.729194460142685E-12</v>
      </c>
      <c r="AI24" t="b">
        <v>1</v>
      </c>
      <c r="AJ24" t="b">
        <v>1</v>
      </c>
      <c r="AK24" t="b">
        <v>1</v>
      </c>
      <c r="AL24">
        <v>0.3984022079966962</v>
      </c>
      <c r="AM24" t="b">
        <v>1</v>
      </c>
      <c r="AN24" t="s">
        <v>82</v>
      </c>
      <c r="AO24">
        <v>0.5</v>
      </c>
      <c r="AP24" t="b">
        <v>0</v>
      </c>
    </row>
    <row r="25" spans="1:42">
      <c r="A25" t="s">
        <v>146</v>
      </c>
      <c r="B25">
        <v>50</v>
      </c>
      <c r="C25" t="s">
        <v>143</v>
      </c>
      <c r="D25">
        <v>1.875</v>
      </c>
      <c r="E25">
        <v>30</v>
      </c>
      <c r="F25">
        <v>98</v>
      </c>
      <c r="G25">
        <v>10</v>
      </c>
      <c r="H25">
        <v>0.5</v>
      </c>
      <c r="I25">
        <v>50</v>
      </c>
      <c r="J25">
        <v>177.1033712082751</v>
      </c>
      <c r="K25">
        <v>10</v>
      </c>
      <c r="L25">
        <v>187.1033712082751</v>
      </c>
      <c r="M25">
        <v>0</v>
      </c>
      <c r="N25">
        <v>0</v>
      </c>
      <c r="O25">
        <v>1.834375</v>
      </c>
      <c r="P25">
        <v>0.0856739494173144</v>
      </c>
      <c r="Q25">
        <v>59.984375</v>
      </c>
      <c r="R25" t="s">
        <v>135</v>
      </c>
      <c r="S25">
        <v>0.75</v>
      </c>
      <c r="T25">
        <v>150</v>
      </c>
      <c r="U25">
        <v>100</v>
      </c>
      <c r="V25">
        <v>0.0181998898183176</v>
      </c>
      <c r="W25">
        <v>78.75679837091825</v>
      </c>
      <c r="X25">
        <v>77.296875</v>
      </c>
      <c r="Y25">
        <v>145.1683913345542</v>
      </c>
      <c r="Z25">
        <v>0.7258419566727712</v>
      </c>
      <c r="AA25">
        <v>0</v>
      </c>
      <c r="AC25">
        <v>186.9585141245578</v>
      </c>
      <c r="AD25">
        <v>186.9585141245578</v>
      </c>
      <c r="AE25">
        <v>0.1448570840359565</v>
      </c>
      <c r="AF25">
        <v>9.7229765255467</v>
      </c>
      <c r="AG25">
        <v>-3.185590680132577E-10</v>
      </c>
      <c r="AH25">
        <v>1.702583261627349E-12</v>
      </c>
      <c r="AI25" t="b">
        <v>1</v>
      </c>
      <c r="AJ25" t="b">
        <v>1</v>
      </c>
      <c r="AK25" t="b">
        <v>1</v>
      </c>
      <c r="AL25">
        <v>0.3798543750308454</v>
      </c>
      <c r="AM25" t="b">
        <v>1</v>
      </c>
      <c r="AN25" t="s">
        <v>82</v>
      </c>
      <c r="AO25">
        <v>0.5</v>
      </c>
      <c r="AP25" t="b">
        <v>0</v>
      </c>
    </row>
    <row r="26" spans="1:42">
      <c r="A26" t="s">
        <v>144</v>
      </c>
      <c r="B26">
        <v>50</v>
      </c>
      <c r="C26" t="s">
        <v>115</v>
      </c>
      <c r="D26">
        <v>1.875</v>
      </c>
      <c r="E26">
        <v>30</v>
      </c>
      <c r="F26">
        <v>98</v>
      </c>
      <c r="G26">
        <v>10</v>
      </c>
      <c r="H26">
        <v>0.62</v>
      </c>
      <c r="I26">
        <v>50</v>
      </c>
      <c r="J26">
        <v>177.1033712082752</v>
      </c>
      <c r="K26">
        <v>10</v>
      </c>
      <c r="L26">
        <v>187.1033712082752</v>
      </c>
      <c r="M26">
        <v>0</v>
      </c>
      <c r="N26">
        <v>0</v>
      </c>
      <c r="O26">
        <v>1.834375</v>
      </c>
      <c r="P26">
        <v>0.0574787903230887</v>
      </c>
      <c r="Q26">
        <v>59.984375</v>
      </c>
      <c r="R26" t="s">
        <v>135</v>
      </c>
      <c r="S26">
        <v>0.75</v>
      </c>
      <c r="T26">
        <v>150</v>
      </c>
      <c r="U26">
        <v>100</v>
      </c>
      <c r="V26">
        <v>0.0212161411911311</v>
      </c>
      <c r="W26">
        <v>63.08874791575288</v>
      </c>
      <c r="X26">
        <v>73.390625</v>
      </c>
      <c r="Y26">
        <v>129.4765422254501</v>
      </c>
      <c r="Z26">
        <v>0.6473827111272504</v>
      </c>
      <c r="AA26">
        <v>0</v>
      </c>
      <c r="AC26">
        <v>187.0117219569744</v>
      </c>
      <c r="AD26">
        <v>187.0117219569744</v>
      </c>
      <c r="AE26">
        <v>0.09164925189940749</v>
      </c>
      <c r="AF26">
        <v>7.652657663283192</v>
      </c>
      <c r="AG26">
        <v>-5.985852508105792E-10</v>
      </c>
      <c r="AH26">
        <v>3.199222156955477E-12</v>
      </c>
      <c r="AI26" t="b">
        <v>1</v>
      </c>
      <c r="AJ26" t="b">
        <v>1</v>
      </c>
      <c r="AK26" t="b">
        <v>1</v>
      </c>
      <c r="AL26">
        <v>0.3733234580140561</v>
      </c>
      <c r="AM26" t="b">
        <v>1</v>
      </c>
      <c r="AN26" t="s">
        <v>82</v>
      </c>
      <c r="AO26">
        <v>0.62</v>
      </c>
      <c r="AP26" t="b">
        <v>1</v>
      </c>
    </row>
    <row r="27" spans="1:42">
      <c r="A27" t="s">
        <v>145</v>
      </c>
      <c r="B27">
        <v>50</v>
      </c>
      <c r="C27" t="s">
        <v>141</v>
      </c>
      <c r="D27">
        <v>1.875</v>
      </c>
      <c r="E27">
        <v>30</v>
      </c>
      <c r="F27">
        <v>98</v>
      </c>
      <c r="G27">
        <v>10</v>
      </c>
      <c r="H27">
        <v>0.62</v>
      </c>
      <c r="I27">
        <v>50</v>
      </c>
      <c r="J27">
        <v>177.1033712082752</v>
      </c>
      <c r="K27">
        <v>9.999999999999998</v>
      </c>
      <c r="L27">
        <v>187.1033712082752</v>
      </c>
      <c r="M27">
        <v>0</v>
      </c>
      <c r="N27">
        <v>0</v>
      </c>
      <c r="O27">
        <v>1.834375</v>
      </c>
      <c r="P27">
        <v>0.0731913624882804</v>
      </c>
      <c r="Q27">
        <v>26.234375</v>
      </c>
      <c r="R27" t="s">
        <v>135</v>
      </c>
      <c r="S27">
        <v>0.75</v>
      </c>
      <c r="T27">
        <v>150</v>
      </c>
      <c r="U27">
        <v>100</v>
      </c>
      <c r="V27">
        <v>0.021044243487933</v>
      </c>
      <c r="W27">
        <v>71.24764074271368</v>
      </c>
      <c r="X27">
        <v>64.578125</v>
      </c>
      <c r="Y27">
        <v>127.5506103021315</v>
      </c>
      <c r="Z27">
        <v>0.6377530515106576</v>
      </c>
      <c r="AA27">
        <v>0</v>
      </c>
      <c r="AC27">
        <v>187.0126126290505</v>
      </c>
      <c r="AD27">
        <v>187.0126126290505</v>
      </c>
      <c r="AE27">
        <v>0.0907585798217137</v>
      </c>
      <c r="AF27">
        <v>7.513859819999553</v>
      </c>
      <c r="AG27">
        <v>-5.970587080295076E-10</v>
      </c>
      <c r="AH27">
        <v>3.191063336666918E-12</v>
      </c>
      <c r="AI27" t="b">
        <v>1</v>
      </c>
      <c r="AJ27" t="b">
        <v>1</v>
      </c>
      <c r="AK27" t="b">
        <v>1</v>
      </c>
      <c r="AL27">
        <v>0.4272883749799803</v>
      </c>
      <c r="AM27" t="b">
        <v>1</v>
      </c>
      <c r="AN27" t="s">
        <v>82</v>
      </c>
      <c r="AO27">
        <v>0.62</v>
      </c>
      <c r="AP27" t="b">
        <v>1</v>
      </c>
    </row>
    <row r="28" spans="1:42">
      <c r="A28" t="s">
        <v>146</v>
      </c>
      <c r="B28">
        <v>50</v>
      </c>
      <c r="C28" t="s">
        <v>143</v>
      </c>
      <c r="D28">
        <v>1.875</v>
      </c>
      <c r="E28">
        <v>30</v>
      </c>
      <c r="F28">
        <v>98</v>
      </c>
      <c r="G28">
        <v>10</v>
      </c>
      <c r="H28">
        <v>0.62</v>
      </c>
      <c r="I28">
        <v>50</v>
      </c>
      <c r="J28">
        <v>177.1033712082751</v>
      </c>
      <c r="K28">
        <v>10</v>
      </c>
      <c r="L28">
        <v>187.1033712082751</v>
      </c>
      <c r="M28">
        <v>0</v>
      </c>
      <c r="N28">
        <v>0</v>
      </c>
      <c r="O28">
        <v>1.834375</v>
      </c>
      <c r="P28">
        <v>0.0856739494173144</v>
      </c>
      <c r="Q28">
        <v>59.984375</v>
      </c>
      <c r="R28" t="s">
        <v>135</v>
      </c>
      <c r="S28">
        <v>0.75</v>
      </c>
      <c r="T28">
        <v>150</v>
      </c>
      <c r="U28">
        <v>100</v>
      </c>
      <c r="V28">
        <v>0.0219402108666138</v>
      </c>
      <c r="W28">
        <v>74.39103599655019</v>
      </c>
      <c r="X28">
        <v>76.171875</v>
      </c>
      <c r="Y28">
        <v>137.7613649883793</v>
      </c>
      <c r="Z28">
        <v>0.6888068249418966</v>
      </c>
      <c r="AA28">
        <v>0</v>
      </c>
      <c r="AC28">
        <v>187.0107226924737</v>
      </c>
      <c r="AD28">
        <v>187.0107226924737</v>
      </c>
      <c r="AE28">
        <v>0.0926485163734775</v>
      </c>
      <c r="AF28">
        <v>7.805989400841937</v>
      </c>
      <c r="AG28">
        <v>-5.720061230229945E-10</v>
      </c>
      <c r="AH28">
        <v>3.057166310414914E-12</v>
      </c>
      <c r="AI28" t="b">
        <v>1</v>
      </c>
      <c r="AJ28" t="b">
        <v>1</v>
      </c>
      <c r="AK28" t="b">
        <v>1</v>
      </c>
      <c r="AL28">
        <v>0.3829675000160932</v>
      </c>
      <c r="AM28" t="b">
        <v>1</v>
      </c>
      <c r="AN28" t="s">
        <v>82</v>
      </c>
      <c r="AO28">
        <v>0.62</v>
      </c>
      <c r="AP28" t="b">
        <v>1</v>
      </c>
    </row>
    <row r="29" spans="1:42">
      <c r="A29" t="s">
        <v>144</v>
      </c>
      <c r="B29">
        <v>50</v>
      </c>
      <c r="C29" t="s">
        <v>115</v>
      </c>
      <c r="D29">
        <v>1.875</v>
      </c>
      <c r="E29">
        <v>30</v>
      </c>
      <c r="F29">
        <v>98</v>
      </c>
      <c r="G29">
        <v>10</v>
      </c>
      <c r="H29">
        <v>0.75</v>
      </c>
      <c r="I29">
        <v>50</v>
      </c>
      <c r="J29">
        <v>177.1033712082752</v>
      </c>
      <c r="K29">
        <v>10</v>
      </c>
      <c r="L29">
        <v>187.1033712082752</v>
      </c>
      <c r="M29">
        <v>0</v>
      </c>
      <c r="N29">
        <v>0</v>
      </c>
      <c r="O29">
        <v>1.834375</v>
      </c>
      <c r="P29">
        <v>0.0574787903230887</v>
      </c>
      <c r="Q29">
        <v>59.984375</v>
      </c>
      <c r="R29" t="s">
        <v>135</v>
      </c>
      <c r="S29">
        <v>0.75</v>
      </c>
      <c r="T29">
        <v>150</v>
      </c>
      <c r="U29">
        <v>100</v>
      </c>
      <c r="V29">
        <v>0.0247073266512903</v>
      </c>
      <c r="W29">
        <v>57.01488059785144</v>
      </c>
      <c r="X29">
        <v>72.421875</v>
      </c>
      <c r="Y29">
        <v>120.7398503302765</v>
      </c>
      <c r="Z29">
        <v>0.6036992516513826</v>
      </c>
      <c r="AA29">
        <v>0</v>
      </c>
      <c r="AC29">
        <v>187.0414673298781</v>
      </c>
      <c r="AD29">
        <v>187.0414673298781</v>
      </c>
      <c r="AE29">
        <v>0.0619038793825503</v>
      </c>
      <c r="AF29">
        <v>6.27156761363921</v>
      </c>
      <c r="AG29">
        <v>-9.854325480618262E-10</v>
      </c>
      <c r="AH29">
        <v>5.266781361009721E-12</v>
      </c>
      <c r="AI29" t="b">
        <v>1</v>
      </c>
      <c r="AJ29" t="b">
        <v>1</v>
      </c>
      <c r="AK29" t="b">
        <v>1</v>
      </c>
      <c r="AL29">
        <v>0.3776103340787813</v>
      </c>
      <c r="AM29" t="b">
        <v>1</v>
      </c>
      <c r="AN29" t="s">
        <v>82</v>
      </c>
      <c r="AO29">
        <v>0.75</v>
      </c>
      <c r="AP29" t="b">
        <v>0</v>
      </c>
    </row>
    <row r="30" spans="1:42">
      <c r="A30" t="s">
        <v>145</v>
      </c>
      <c r="B30">
        <v>50</v>
      </c>
      <c r="C30" t="s">
        <v>141</v>
      </c>
      <c r="D30">
        <v>1.875</v>
      </c>
      <c r="E30">
        <v>30</v>
      </c>
      <c r="F30">
        <v>98</v>
      </c>
      <c r="G30">
        <v>10</v>
      </c>
      <c r="H30">
        <v>0.75</v>
      </c>
      <c r="I30">
        <v>50</v>
      </c>
      <c r="J30">
        <v>177.1033712082752</v>
      </c>
      <c r="K30">
        <v>9.999999999999998</v>
      </c>
      <c r="L30">
        <v>187.1033712082752</v>
      </c>
      <c r="M30">
        <v>0</v>
      </c>
      <c r="N30">
        <v>0</v>
      </c>
      <c r="O30">
        <v>1.834375</v>
      </c>
      <c r="P30">
        <v>0.0731913624882804</v>
      </c>
      <c r="Q30">
        <v>26.234375</v>
      </c>
      <c r="R30" t="s">
        <v>135</v>
      </c>
      <c r="S30">
        <v>0.75</v>
      </c>
      <c r="T30">
        <v>150</v>
      </c>
      <c r="U30">
        <v>100</v>
      </c>
      <c r="V30">
        <v>0.0244995645094251</v>
      </c>
      <c r="W30">
        <v>66.52669976823009</v>
      </c>
      <c r="X30">
        <v>62.265625</v>
      </c>
      <c r="Y30">
        <v>118.8878210209194</v>
      </c>
      <c r="Z30">
        <v>0.594439105104597</v>
      </c>
      <c r="AA30">
        <v>0</v>
      </c>
      <c r="AC30">
        <v>187.0420717850184</v>
      </c>
      <c r="AD30">
        <v>187.0420717850184</v>
      </c>
      <c r="AE30">
        <v>0.0612994242605777</v>
      </c>
      <c r="AF30">
        <v>6.131289112792692</v>
      </c>
      <c r="AG30">
        <v>-1.003779240282832E-09</v>
      </c>
      <c r="AH30">
        <v>5.364837810246984E-12</v>
      </c>
      <c r="AI30" t="b">
        <v>1</v>
      </c>
      <c r="AJ30" t="b">
        <v>1</v>
      </c>
      <c r="AK30" t="b">
        <v>1</v>
      </c>
      <c r="AL30">
        <v>0.4061190419597551</v>
      </c>
      <c r="AM30" t="b">
        <v>1</v>
      </c>
      <c r="AN30" t="s">
        <v>82</v>
      </c>
      <c r="AO30">
        <v>0.75</v>
      </c>
      <c r="AP30" t="b">
        <v>0</v>
      </c>
    </row>
    <row r="31" spans="1:42">
      <c r="A31" t="s">
        <v>146</v>
      </c>
      <c r="B31">
        <v>50</v>
      </c>
      <c r="C31" t="s">
        <v>143</v>
      </c>
      <c r="D31">
        <v>1.875</v>
      </c>
      <c r="E31">
        <v>30</v>
      </c>
      <c r="F31">
        <v>98</v>
      </c>
      <c r="G31">
        <v>10</v>
      </c>
      <c r="H31">
        <v>0.75</v>
      </c>
      <c r="I31">
        <v>50</v>
      </c>
      <c r="J31">
        <v>177.1033712082751</v>
      </c>
      <c r="K31">
        <v>10</v>
      </c>
      <c r="L31">
        <v>187.1033712082751</v>
      </c>
      <c r="M31">
        <v>0</v>
      </c>
      <c r="N31">
        <v>0</v>
      </c>
      <c r="O31">
        <v>1.834375</v>
      </c>
      <c r="P31">
        <v>0.0856739494173144</v>
      </c>
      <c r="Q31">
        <v>59.984375</v>
      </c>
      <c r="R31" t="s">
        <v>135</v>
      </c>
      <c r="S31">
        <v>0.75</v>
      </c>
      <c r="T31">
        <v>150</v>
      </c>
      <c r="U31">
        <v>100</v>
      </c>
      <c r="V31">
        <v>0.0257587685767237</v>
      </c>
      <c r="W31">
        <v>69.93395454287533</v>
      </c>
      <c r="X31">
        <v>75.203125</v>
      </c>
      <c r="Y31">
        <v>130.3530797131944</v>
      </c>
      <c r="Z31">
        <v>0.6517653985659722</v>
      </c>
      <c r="AA31">
        <v>0</v>
      </c>
      <c r="AC31">
        <v>187.04080380562</v>
      </c>
      <c r="AD31">
        <v>187.04080380562</v>
      </c>
      <c r="AE31">
        <v>0.06256740357464689</v>
      </c>
      <c r="AF31">
        <v>6.423207971650976</v>
      </c>
      <c r="AG31">
        <v>-9.194847522264735E-10</v>
      </c>
      <c r="AH31">
        <v>4.914314190538791E-12</v>
      </c>
      <c r="AI31" t="b">
        <v>1</v>
      </c>
      <c r="AJ31" t="b">
        <v>1</v>
      </c>
      <c r="AK31" t="b">
        <v>1</v>
      </c>
      <c r="AL31">
        <v>0.3690706670749932</v>
      </c>
      <c r="AM31" t="b">
        <v>1</v>
      </c>
      <c r="AN31" t="s">
        <v>82</v>
      </c>
      <c r="AO31">
        <v>0.75</v>
      </c>
      <c r="AP31" t="b">
        <v>0</v>
      </c>
    </row>
  </sheetData>
  <autoFilter ref="A4:AP31"/>
  <mergeCells count="2">
    <mergeCell ref="A1:J1"/>
    <mergeCell ref="A2:J2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6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13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</row>
    <row r="2" spans="1:13" ht="32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</row>
    <row r="4" spans="1:13">
      <c r="A4" s="5" t="s">
        <v>75</v>
      </c>
      <c r="B4" s="5" t="s">
        <v>92</v>
      </c>
      <c r="C4" s="5" t="s">
        <v>164</v>
      </c>
      <c r="D4" s="5" t="s">
        <v>165</v>
      </c>
      <c r="E4" s="5" t="s">
        <v>166</v>
      </c>
      <c r="F4" s="5" t="s">
        <v>167</v>
      </c>
      <c r="G4" s="5" t="s">
        <v>168</v>
      </c>
      <c r="H4" s="5" t="s">
        <v>169</v>
      </c>
      <c r="I4" s="5" t="s">
        <v>170</v>
      </c>
      <c r="J4" s="5" t="s">
        <v>171</v>
      </c>
      <c r="K4" s="5" t="s">
        <v>172</v>
      </c>
      <c r="L4" s="5" t="s">
        <v>173</v>
      </c>
      <c r="M4" s="5" t="s">
        <v>174</v>
      </c>
    </row>
    <row r="5" spans="1:13">
      <c r="A5" t="s">
        <v>114</v>
      </c>
      <c r="B5" t="s">
        <v>116</v>
      </c>
      <c r="C5">
        <v>30</v>
      </c>
      <c r="D5">
        <v>15</v>
      </c>
      <c r="E5">
        <v>0.0004158281595894</v>
      </c>
      <c r="F5">
        <v>0</v>
      </c>
      <c r="G5">
        <v>0.0004158281595917</v>
      </c>
      <c r="H5">
        <v>0.0351826108236252</v>
      </c>
      <c r="I5">
        <v>15</v>
      </c>
      <c r="J5" t="b">
        <v>1</v>
      </c>
      <c r="K5">
        <v>59.70365778832445</v>
      </c>
      <c r="L5" t="b">
        <v>1</v>
      </c>
      <c r="M5" t="b">
        <v>1</v>
      </c>
    </row>
    <row r="6" spans="1:13">
      <c r="A6" t="s">
        <v>114</v>
      </c>
      <c r="B6" t="s">
        <v>117</v>
      </c>
      <c r="C6">
        <v>30</v>
      </c>
      <c r="D6">
        <v>15</v>
      </c>
      <c r="E6">
        <v>0.0004158281595894</v>
      </c>
      <c r="F6">
        <v>0</v>
      </c>
      <c r="G6">
        <v>0.0004158281595917</v>
      </c>
      <c r="H6">
        <v>0.062541533333885</v>
      </c>
      <c r="I6">
        <v>15</v>
      </c>
      <c r="J6" t="b">
        <v>1</v>
      </c>
      <c r="K6">
        <v>59.15288754185184</v>
      </c>
      <c r="L6" t="b">
        <v>1</v>
      </c>
      <c r="M6" t="b">
        <v>1</v>
      </c>
    </row>
    <row r="7" spans="1:13">
      <c r="A7" t="s">
        <v>114</v>
      </c>
      <c r="B7" t="s">
        <v>118</v>
      </c>
      <c r="C7">
        <v>30</v>
      </c>
      <c r="D7">
        <v>15</v>
      </c>
      <c r="E7">
        <v>0.0004158281595894</v>
      </c>
      <c r="F7">
        <v>0</v>
      </c>
      <c r="G7">
        <v>0.0004158281595917</v>
      </c>
      <c r="H7">
        <v>0.08828768717830821</v>
      </c>
      <c r="I7">
        <v>15</v>
      </c>
      <c r="J7" t="b">
        <v>1</v>
      </c>
      <c r="K7">
        <v>58.58575343931705</v>
      </c>
      <c r="L7" t="b">
        <v>1</v>
      </c>
      <c r="M7" t="b">
        <v>1</v>
      </c>
    </row>
    <row r="8" spans="1:13">
      <c r="A8" t="s">
        <v>114</v>
      </c>
      <c r="B8" t="s">
        <v>119</v>
      </c>
      <c r="C8">
        <v>30</v>
      </c>
      <c r="D8">
        <v>15</v>
      </c>
      <c r="E8">
        <v>0.0004158281595894</v>
      </c>
      <c r="F8">
        <v>0</v>
      </c>
      <c r="G8">
        <v>0.0004158281595917</v>
      </c>
      <c r="H8">
        <v>0.1101713495866683</v>
      </c>
      <c r="I8">
        <v>15</v>
      </c>
      <c r="J8" t="b">
        <v>1</v>
      </c>
      <c r="K8">
        <v>58.31838734586654</v>
      </c>
      <c r="L8" t="b">
        <v>1</v>
      </c>
      <c r="M8" t="b">
        <v>1</v>
      </c>
    </row>
    <row r="9" spans="1:13">
      <c r="A9" t="s">
        <v>114</v>
      </c>
      <c r="B9" t="s">
        <v>120</v>
      </c>
      <c r="C9">
        <v>30</v>
      </c>
      <c r="D9">
        <v>15</v>
      </c>
      <c r="E9">
        <v>0.0003889300236946</v>
      </c>
      <c r="F9">
        <v>0</v>
      </c>
      <c r="G9">
        <v>0.0004158281595917</v>
      </c>
      <c r="H9">
        <v>0.046763057893699</v>
      </c>
      <c r="I9">
        <v>15</v>
      </c>
      <c r="J9" t="b">
        <v>1</v>
      </c>
      <c r="K9">
        <v>53.27717969614127</v>
      </c>
      <c r="L9" t="b">
        <v>1</v>
      </c>
      <c r="M9" t="b">
        <v>1</v>
      </c>
    </row>
    <row r="10" spans="1:13">
      <c r="A10" t="s">
        <v>114</v>
      </c>
      <c r="B10" t="s">
        <v>121</v>
      </c>
      <c r="C10">
        <v>30</v>
      </c>
      <c r="D10">
        <v>15</v>
      </c>
      <c r="E10">
        <v>0.0163008289563957</v>
      </c>
      <c r="F10">
        <v>0</v>
      </c>
      <c r="G10">
        <v>0.0004158281595917</v>
      </c>
      <c r="H10">
        <v>0.0815590688509857</v>
      </c>
      <c r="I10">
        <v>15</v>
      </c>
      <c r="J10" t="b">
        <v>1</v>
      </c>
      <c r="K10">
        <v>52.68742097731405</v>
      </c>
      <c r="L10" t="b">
        <v>1</v>
      </c>
      <c r="M10" t="b">
        <v>0</v>
      </c>
    </row>
    <row r="11" spans="1:13">
      <c r="A11" t="s">
        <v>114</v>
      </c>
      <c r="B11" t="s">
        <v>122</v>
      </c>
      <c r="C11">
        <v>30</v>
      </c>
      <c r="D11">
        <v>15</v>
      </c>
      <c r="E11">
        <v>0.0735013611956917</v>
      </c>
      <c r="F11">
        <v>0</v>
      </c>
      <c r="G11">
        <v>0.0004158281595917</v>
      </c>
      <c r="H11">
        <v>0.1087763240372792</v>
      </c>
      <c r="I11">
        <v>15</v>
      </c>
      <c r="J11" t="b">
        <v>1</v>
      </c>
      <c r="K11">
        <v>52.08079878449681</v>
      </c>
      <c r="L11" t="b">
        <v>1</v>
      </c>
      <c r="M11" t="b">
        <v>0</v>
      </c>
    </row>
    <row r="12" spans="1:13">
      <c r="A12" t="s">
        <v>114</v>
      </c>
      <c r="B12" t="s">
        <v>123</v>
      </c>
      <c r="C12">
        <v>30</v>
      </c>
      <c r="D12">
        <v>15</v>
      </c>
      <c r="E12">
        <v>0.0013970877778946</v>
      </c>
      <c r="F12">
        <v>0.0022481220882257</v>
      </c>
      <c r="G12">
        <v>0.0004158281595917</v>
      </c>
      <c r="H12">
        <v>0</v>
      </c>
      <c r="J12" t="b">
        <v>1</v>
      </c>
      <c r="K12">
        <v>42.65260706727929</v>
      </c>
      <c r="L12" t="b">
        <v>1</v>
      </c>
      <c r="M12" t="b">
        <v>1</v>
      </c>
    </row>
    <row r="13" spans="1:13">
      <c r="A13" t="s">
        <v>114</v>
      </c>
      <c r="B13" t="s">
        <v>124</v>
      </c>
      <c r="C13">
        <v>30</v>
      </c>
      <c r="D13">
        <v>15</v>
      </c>
      <c r="E13">
        <v>0.0003429419707855</v>
      </c>
      <c r="F13">
        <v>0.0006492703146778</v>
      </c>
      <c r="G13">
        <v>0.0004158281595917</v>
      </c>
      <c r="H13">
        <v>0</v>
      </c>
      <c r="J13" t="b">
        <v>1</v>
      </c>
      <c r="K13">
        <v>30.24852001723559</v>
      </c>
      <c r="L13" t="b">
        <v>1</v>
      </c>
      <c r="M13" t="b">
        <v>1</v>
      </c>
    </row>
    <row r="14" spans="1:13">
      <c r="A14" t="s">
        <v>114</v>
      </c>
      <c r="B14" t="s">
        <v>125</v>
      </c>
      <c r="C14">
        <v>30</v>
      </c>
      <c r="D14">
        <v>15</v>
      </c>
      <c r="E14">
        <v>0.0006609289197519</v>
      </c>
      <c r="F14">
        <v>0.0012042110553817</v>
      </c>
      <c r="G14">
        <v>0.0004158281595917</v>
      </c>
      <c r="H14">
        <v>0</v>
      </c>
      <c r="J14" t="b">
        <v>1</v>
      </c>
      <c r="K14">
        <v>33.57959346163</v>
      </c>
      <c r="L14" t="b">
        <v>1</v>
      </c>
      <c r="M14" t="b">
        <v>1</v>
      </c>
    </row>
    <row r="15" spans="1:13">
      <c r="A15" t="s">
        <v>114</v>
      </c>
      <c r="B15" t="s">
        <v>126</v>
      </c>
      <c r="C15">
        <v>30</v>
      </c>
      <c r="D15">
        <v>15</v>
      </c>
      <c r="E15">
        <v>0.0010233293821219</v>
      </c>
      <c r="F15">
        <v>0.0017703510880104</v>
      </c>
      <c r="G15">
        <v>0.0004158281595917</v>
      </c>
      <c r="H15">
        <v>0</v>
      </c>
      <c r="J15" t="b">
        <v>1</v>
      </c>
      <c r="K15">
        <v>36.06532600121568</v>
      </c>
      <c r="L15" t="b">
        <v>1</v>
      </c>
      <c r="M15" t="b">
        <v>1</v>
      </c>
    </row>
    <row r="16" spans="1:13">
      <c r="A16" t="s">
        <v>114</v>
      </c>
      <c r="B16" t="s">
        <v>127</v>
      </c>
      <c r="C16">
        <v>30</v>
      </c>
      <c r="D16">
        <v>15</v>
      </c>
      <c r="E16">
        <v>0.0013970877778946</v>
      </c>
      <c r="F16">
        <v>0.0022481220882257</v>
      </c>
      <c r="G16">
        <v>0.0004158281595917</v>
      </c>
      <c r="H16">
        <v>0</v>
      </c>
      <c r="J16" t="b">
        <v>1</v>
      </c>
      <c r="K16">
        <v>38.09564939949155</v>
      </c>
      <c r="L16" t="b">
        <v>1</v>
      </c>
      <c r="M16" t="b">
        <v>1</v>
      </c>
    </row>
    <row r="17" spans="1:13">
      <c r="A17" t="s">
        <v>114</v>
      </c>
      <c r="B17" t="s">
        <v>128</v>
      </c>
      <c r="C17">
        <v>30</v>
      </c>
      <c r="D17">
        <v>15</v>
      </c>
      <c r="E17">
        <v>0.0003429419707855</v>
      </c>
      <c r="F17">
        <v>0.0006492703146778</v>
      </c>
      <c r="G17">
        <v>0.0004158281595917</v>
      </c>
      <c r="H17">
        <v>0</v>
      </c>
      <c r="J17" t="b">
        <v>1</v>
      </c>
      <c r="K17">
        <v>27.01353435722638</v>
      </c>
      <c r="L17" t="b">
        <v>1</v>
      </c>
      <c r="M17" t="b">
        <v>1</v>
      </c>
    </row>
    <row r="18" spans="1:13">
      <c r="A18" t="s">
        <v>114</v>
      </c>
      <c r="B18" t="s">
        <v>129</v>
      </c>
      <c r="C18">
        <v>30</v>
      </c>
      <c r="D18">
        <v>15</v>
      </c>
      <c r="E18">
        <v>0.0006609289197519</v>
      </c>
      <c r="F18">
        <v>0.0012042110553817</v>
      </c>
      <c r="G18">
        <v>0.0004158281595917</v>
      </c>
      <c r="H18">
        <v>0</v>
      </c>
      <c r="J18" t="b">
        <v>1</v>
      </c>
      <c r="K18">
        <v>30.34203341269475</v>
      </c>
      <c r="L18" t="b">
        <v>1</v>
      </c>
      <c r="M18" t="b">
        <v>1</v>
      </c>
    </row>
    <row r="19" spans="1:13">
      <c r="A19" t="s">
        <v>114</v>
      </c>
      <c r="B19" t="s">
        <v>130</v>
      </c>
      <c r="C19">
        <v>30</v>
      </c>
      <c r="D19">
        <v>15</v>
      </c>
      <c r="E19">
        <v>0.0010233293821219</v>
      </c>
      <c r="F19">
        <v>0.0017703510880104</v>
      </c>
      <c r="G19">
        <v>0.0004158281595917</v>
      </c>
      <c r="H19">
        <v>0</v>
      </c>
      <c r="J19" t="b">
        <v>1</v>
      </c>
      <c r="K19">
        <v>32.83326319888715</v>
      </c>
      <c r="L19" t="b">
        <v>1</v>
      </c>
      <c r="M19" t="b">
        <v>1</v>
      </c>
    </row>
    <row r="20" spans="1:13">
      <c r="A20" t="s">
        <v>114</v>
      </c>
      <c r="B20" t="s">
        <v>131</v>
      </c>
      <c r="C20">
        <v>30</v>
      </c>
      <c r="D20">
        <v>15</v>
      </c>
      <c r="E20">
        <v>0.0013970877778946</v>
      </c>
      <c r="F20">
        <v>0.0022481220882257</v>
      </c>
      <c r="G20">
        <v>0.0004158281595917</v>
      </c>
      <c r="H20">
        <v>0</v>
      </c>
      <c r="J20" t="b">
        <v>1</v>
      </c>
      <c r="K20">
        <v>34.86514493773001</v>
      </c>
      <c r="L20" t="b">
        <v>1</v>
      </c>
      <c r="M20" t="b">
        <v>1</v>
      </c>
    </row>
    <row r="21" spans="1:13">
      <c r="A21" t="s">
        <v>114</v>
      </c>
      <c r="B21" t="s">
        <v>132</v>
      </c>
      <c r="C21">
        <v>30</v>
      </c>
      <c r="D21">
        <v>15</v>
      </c>
      <c r="E21">
        <v>0.0003429419707855</v>
      </c>
      <c r="F21">
        <v>0.0006492703146778</v>
      </c>
      <c r="G21">
        <v>0.0004158281595917</v>
      </c>
      <c r="H21">
        <v>0</v>
      </c>
      <c r="J21" t="b">
        <v>1</v>
      </c>
      <c r="K21">
        <v>24.50283712435208</v>
      </c>
      <c r="L21" t="b">
        <v>1</v>
      </c>
      <c r="M21" t="b">
        <v>1</v>
      </c>
    </row>
    <row r="22" spans="1:13">
      <c r="A22" t="s">
        <v>114</v>
      </c>
      <c r="B22" t="s">
        <v>133</v>
      </c>
      <c r="C22">
        <v>30</v>
      </c>
      <c r="D22">
        <v>15</v>
      </c>
      <c r="E22">
        <v>0.0006609289197519</v>
      </c>
      <c r="F22">
        <v>0.0012042110553817</v>
      </c>
      <c r="G22">
        <v>0.0004158281595917</v>
      </c>
      <c r="H22">
        <v>0</v>
      </c>
      <c r="J22" t="b">
        <v>1</v>
      </c>
      <c r="K22">
        <v>27.83482382353668</v>
      </c>
      <c r="L22" t="b">
        <v>1</v>
      </c>
      <c r="M22" t="b">
        <v>1</v>
      </c>
    </row>
    <row r="23" spans="1:13">
      <c r="A23" t="s">
        <v>114</v>
      </c>
      <c r="B23" t="s">
        <v>134</v>
      </c>
      <c r="C23">
        <v>30</v>
      </c>
      <c r="D23">
        <v>15</v>
      </c>
      <c r="E23">
        <v>0.0010233293821219</v>
      </c>
      <c r="F23">
        <v>0.0017703510880104</v>
      </c>
      <c r="G23">
        <v>0.0004158281595917</v>
      </c>
      <c r="H23">
        <v>0</v>
      </c>
      <c r="J23" t="b">
        <v>1</v>
      </c>
      <c r="K23">
        <v>30.32402300337082</v>
      </c>
      <c r="L23" t="b">
        <v>1</v>
      </c>
      <c r="M23" t="b">
        <v>1</v>
      </c>
    </row>
    <row r="24" spans="1:13">
      <c r="A24" t="s">
        <v>114</v>
      </c>
      <c r="B24" t="s">
        <v>135</v>
      </c>
      <c r="C24">
        <v>30</v>
      </c>
      <c r="D24">
        <v>15</v>
      </c>
      <c r="E24">
        <v>0.0013970877778946</v>
      </c>
      <c r="F24">
        <v>0.0022481220882257</v>
      </c>
      <c r="G24">
        <v>0.0004158281595917</v>
      </c>
      <c r="H24">
        <v>0</v>
      </c>
      <c r="J24" t="b">
        <v>1</v>
      </c>
      <c r="K24">
        <v>32.35904985302867</v>
      </c>
      <c r="L24" t="b">
        <v>1</v>
      </c>
      <c r="M24" t="b">
        <v>1</v>
      </c>
    </row>
    <row r="25" spans="1:13">
      <c r="A25" t="s">
        <v>114</v>
      </c>
      <c r="B25" t="s">
        <v>136</v>
      </c>
      <c r="C25">
        <v>30</v>
      </c>
      <c r="D25">
        <v>15</v>
      </c>
      <c r="E25">
        <v>0.0003429419707855</v>
      </c>
      <c r="F25">
        <v>0.0006492703146778</v>
      </c>
      <c r="G25">
        <v>0.0004158281595917</v>
      </c>
      <c r="H25">
        <v>0</v>
      </c>
      <c r="J25" t="b">
        <v>1</v>
      </c>
      <c r="K25">
        <v>22.4524835591879</v>
      </c>
      <c r="L25" t="b">
        <v>1</v>
      </c>
      <c r="M25" t="b">
        <v>1</v>
      </c>
    </row>
    <row r="26" spans="1:13">
      <c r="A26" t="s">
        <v>114</v>
      </c>
      <c r="B26" t="s">
        <v>137</v>
      </c>
      <c r="C26">
        <v>30</v>
      </c>
      <c r="D26">
        <v>15</v>
      </c>
      <c r="E26">
        <v>0.0006609289197519</v>
      </c>
      <c r="F26">
        <v>0.0012042110553817</v>
      </c>
      <c r="G26">
        <v>0.0004158281595917</v>
      </c>
      <c r="H26">
        <v>0</v>
      </c>
      <c r="J26" t="b">
        <v>1</v>
      </c>
      <c r="K26">
        <v>25.78204595806</v>
      </c>
      <c r="L26" t="b">
        <v>1</v>
      </c>
      <c r="M26" t="b">
        <v>1</v>
      </c>
    </row>
    <row r="27" spans="1:13">
      <c r="A27" t="s">
        <v>114</v>
      </c>
      <c r="B27" t="s">
        <v>138</v>
      </c>
      <c r="C27">
        <v>30</v>
      </c>
      <c r="D27">
        <v>15</v>
      </c>
      <c r="E27">
        <v>0.0010233293821219</v>
      </c>
      <c r="F27">
        <v>0.0017703510880104</v>
      </c>
      <c r="G27">
        <v>0.0004158281595917</v>
      </c>
      <c r="H27">
        <v>0</v>
      </c>
      <c r="J27" t="b">
        <v>1</v>
      </c>
      <c r="K27">
        <v>28.2758408846437</v>
      </c>
      <c r="L27" t="b">
        <v>1</v>
      </c>
      <c r="M27" t="b">
        <v>1</v>
      </c>
    </row>
    <row r="28" spans="1:13">
      <c r="A28" t="s">
        <v>114</v>
      </c>
      <c r="B28" t="s">
        <v>139</v>
      </c>
      <c r="C28">
        <v>30</v>
      </c>
      <c r="D28">
        <v>15</v>
      </c>
      <c r="E28">
        <v>0.0013970877778946</v>
      </c>
      <c r="F28">
        <v>0.0022481220882257</v>
      </c>
      <c r="G28">
        <v>0.0004158281595917</v>
      </c>
      <c r="H28">
        <v>0</v>
      </c>
      <c r="J28" t="b">
        <v>1</v>
      </c>
      <c r="K28">
        <v>30.31135164088354</v>
      </c>
      <c r="L28" t="b">
        <v>1</v>
      </c>
      <c r="M28" t="b">
        <v>1</v>
      </c>
    </row>
    <row r="29" spans="1:13">
      <c r="A29" t="s">
        <v>140</v>
      </c>
      <c r="B29" t="s">
        <v>116</v>
      </c>
      <c r="C29">
        <v>30</v>
      </c>
      <c r="D29">
        <v>15</v>
      </c>
      <c r="E29">
        <v>0.002100491066852</v>
      </c>
      <c r="F29">
        <v>0</v>
      </c>
      <c r="G29">
        <v>0.0021867696258038</v>
      </c>
      <c r="H29">
        <v>0.0314653306582499</v>
      </c>
      <c r="I29">
        <v>15</v>
      </c>
      <c r="J29" t="b">
        <v>1</v>
      </c>
      <c r="K29">
        <v>56.723764750285</v>
      </c>
      <c r="L29" t="b">
        <v>1</v>
      </c>
      <c r="M29" t="b">
        <v>1</v>
      </c>
    </row>
    <row r="30" spans="1:13">
      <c r="A30" t="s">
        <v>140</v>
      </c>
      <c r="B30" t="s">
        <v>117</v>
      </c>
      <c r="C30">
        <v>30</v>
      </c>
      <c r="D30">
        <v>15</v>
      </c>
      <c r="E30">
        <v>0.0020812509464713</v>
      </c>
      <c r="F30">
        <v>0</v>
      </c>
      <c r="G30">
        <v>0.0021867696258038</v>
      </c>
      <c r="H30">
        <v>0.0543328635571498</v>
      </c>
      <c r="I30">
        <v>15</v>
      </c>
      <c r="J30" t="b">
        <v>1</v>
      </c>
      <c r="K30">
        <v>56.03103564045995</v>
      </c>
      <c r="L30" t="b">
        <v>1</v>
      </c>
      <c r="M30" t="b">
        <v>1</v>
      </c>
    </row>
    <row r="31" spans="1:13">
      <c r="A31" t="s">
        <v>140</v>
      </c>
      <c r="B31" t="s">
        <v>118</v>
      </c>
      <c r="C31">
        <v>30</v>
      </c>
      <c r="D31">
        <v>15</v>
      </c>
      <c r="E31">
        <v>0.003404707777778</v>
      </c>
      <c r="F31">
        <v>0</v>
      </c>
      <c r="G31">
        <v>0.0021867696258038</v>
      </c>
      <c r="H31">
        <v>0.0765012713866752</v>
      </c>
      <c r="I31">
        <v>0</v>
      </c>
      <c r="J31" t="b">
        <v>1</v>
      </c>
      <c r="K31">
        <v>55.81044611921868</v>
      </c>
      <c r="L31" t="b">
        <v>1</v>
      </c>
      <c r="M31" t="b">
        <v>1</v>
      </c>
    </row>
    <row r="32" spans="1:13">
      <c r="A32" t="s">
        <v>140</v>
      </c>
      <c r="B32" t="s">
        <v>119</v>
      </c>
      <c r="C32">
        <v>30</v>
      </c>
      <c r="D32">
        <v>15</v>
      </c>
      <c r="E32">
        <v>0.0021250179387139</v>
      </c>
      <c r="F32">
        <v>0</v>
      </c>
      <c r="G32">
        <v>0.0021867696258038</v>
      </c>
      <c r="H32">
        <v>0.0952276123405226</v>
      </c>
      <c r="I32">
        <v>15</v>
      </c>
      <c r="J32" t="b">
        <v>1</v>
      </c>
      <c r="K32">
        <v>55.71875777095769</v>
      </c>
      <c r="L32" t="b">
        <v>1</v>
      </c>
      <c r="M32" t="b">
        <v>1</v>
      </c>
    </row>
    <row r="33" spans="1:13">
      <c r="A33" t="s">
        <v>140</v>
      </c>
      <c r="B33" t="s">
        <v>120</v>
      </c>
      <c r="C33">
        <v>30</v>
      </c>
      <c r="D33">
        <v>15</v>
      </c>
      <c r="E33">
        <v>0.0034295240494481</v>
      </c>
      <c r="F33">
        <v>0</v>
      </c>
      <c r="G33">
        <v>0.0021867696258038</v>
      </c>
      <c r="H33">
        <v>0.0403438809514717</v>
      </c>
      <c r="I33">
        <v>15</v>
      </c>
      <c r="J33" t="b">
        <v>1</v>
      </c>
      <c r="K33">
        <v>50.25142580424813</v>
      </c>
      <c r="L33" t="b">
        <v>1</v>
      </c>
      <c r="M33" t="b">
        <v>1</v>
      </c>
    </row>
    <row r="34" spans="1:13">
      <c r="A34" t="s">
        <v>140</v>
      </c>
      <c r="B34" t="s">
        <v>121</v>
      </c>
      <c r="C34">
        <v>30</v>
      </c>
      <c r="D34">
        <v>15</v>
      </c>
      <c r="E34">
        <v>0.0208125800038922</v>
      </c>
      <c r="F34">
        <v>0</v>
      </c>
      <c r="G34">
        <v>0.0021867696258038</v>
      </c>
      <c r="H34">
        <v>0.0679684527827575</v>
      </c>
      <c r="I34">
        <v>15</v>
      </c>
      <c r="J34" t="b">
        <v>1</v>
      </c>
      <c r="K34">
        <v>49.82354973221561</v>
      </c>
      <c r="L34" t="b">
        <v>1</v>
      </c>
      <c r="M34" t="b">
        <v>0</v>
      </c>
    </row>
    <row r="35" spans="1:13">
      <c r="A35" t="s">
        <v>140</v>
      </c>
      <c r="B35" t="s">
        <v>122</v>
      </c>
      <c r="C35">
        <v>30</v>
      </c>
      <c r="D35">
        <v>15</v>
      </c>
      <c r="E35">
        <v>0.0008107198647452</v>
      </c>
      <c r="F35">
        <v>0.0013975831905203</v>
      </c>
      <c r="G35">
        <v>0.0021867696258038</v>
      </c>
      <c r="H35">
        <v>0</v>
      </c>
      <c r="J35" t="b">
        <v>1</v>
      </c>
      <c r="K35">
        <v>40.42885041144473</v>
      </c>
      <c r="L35" t="b">
        <v>1</v>
      </c>
      <c r="M35" t="b">
        <v>1</v>
      </c>
    </row>
    <row r="36" spans="1:13">
      <c r="A36" t="s">
        <v>140</v>
      </c>
      <c r="B36" t="s">
        <v>123</v>
      </c>
      <c r="C36">
        <v>30</v>
      </c>
      <c r="D36">
        <v>15</v>
      </c>
      <c r="E36">
        <v>0.0011702258812204</v>
      </c>
      <c r="F36">
        <v>0.0018682532434539</v>
      </c>
      <c r="G36">
        <v>0.0021867696258038</v>
      </c>
      <c r="H36">
        <v>0</v>
      </c>
      <c r="J36" t="b">
        <v>1</v>
      </c>
      <c r="K36">
        <v>42.51006154134274</v>
      </c>
      <c r="L36" t="b">
        <v>1</v>
      </c>
      <c r="M36" t="b">
        <v>1</v>
      </c>
    </row>
    <row r="37" spans="1:13">
      <c r="A37" t="s">
        <v>140</v>
      </c>
      <c r="B37" t="s">
        <v>124</v>
      </c>
      <c r="C37">
        <v>30</v>
      </c>
      <c r="D37">
        <v>15</v>
      </c>
      <c r="E37">
        <v>0.0002932004602993</v>
      </c>
      <c r="F37">
        <v>0.0005549711103126</v>
      </c>
      <c r="G37">
        <v>0.0021867696258038</v>
      </c>
      <c r="H37">
        <v>0</v>
      </c>
      <c r="J37" t="b">
        <v>1</v>
      </c>
      <c r="K37">
        <v>30.02490302773424</v>
      </c>
      <c r="L37" t="b">
        <v>1</v>
      </c>
      <c r="M37" t="b">
        <v>1</v>
      </c>
    </row>
    <row r="38" spans="1:13">
      <c r="A38" t="s">
        <v>140</v>
      </c>
      <c r="B38" t="s">
        <v>125</v>
      </c>
      <c r="C38">
        <v>30</v>
      </c>
      <c r="D38">
        <v>15</v>
      </c>
      <c r="E38">
        <v>0.0005472333812185</v>
      </c>
      <c r="F38">
        <v>0.0009959328372735</v>
      </c>
      <c r="G38">
        <v>0.0021867696258038</v>
      </c>
      <c r="H38">
        <v>0</v>
      </c>
      <c r="J38" t="b">
        <v>1</v>
      </c>
      <c r="K38">
        <v>33.36126937263373</v>
      </c>
      <c r="L38" t="b">
        <v>1</v>
      </c>
      <c r="M38" t="b">
        <v>1</v>
      </c>
    </row>
    <row r="39" spans="1:13">
      <c r="A39" t="s">
        <v>140</v>
      </c>
      <c r="B39" t="s">
        <v>126</v>
      </c>
      <c r="C39">
        <v>30</v>
      </c>
      <c r="D39">
        <v>15</v>
      </c>
      <c r="E39">
        <v>0.0008107198647452</v>
      </c>
      <c r="F39">
        <v>0.0013975831905203</v>
      </c>
      <c r="G39">
        <v>0.0021867696258038</v>
      </c>
      <c r="H39">
        <v>0</v>
      </c>
      <c r="J39" t="b">
        <v>1</v>
      </c>
      <c r="K39">
        <v>35.87293246140888</v>
      </c>
      <c r="L39" t="b">
        <v>1</v>
      </c>
      <c r="M39" t="b">
        <v>1</v>
      </c>
    </row>
    <row r="40" spans="1:13">
      <c r="A40" t="s">
        <v>140</v>
      </c>
      <c r="B40" t="s">
        <v>127</v>
      </c>
      <c r="C40">
        <v>30</v>
      </c>
      <c r="D40">
        <v>15</v>
      </c>
      <c r="E40">
        <v>0.0011702258812204</v>
      </c>
      <c r="F40">
        <v>0.0018682532434539</v>
      </c>
      <c r="G40">
        <v>0.0021867696258038</v>
      </c>
      <c r="H40">
        <v>0</v>
      </c>
      <c r="J40" t="b">
        <v>1</v>
      </c>
      <c r="K40">
        <v>37.94504984199491</v>
      </c>
      <c r="L40" t="b">
        <v>1</v>
      </c>
      <c r="M40" t="b">
        <v>1</v>
      </c>
    </row>
    <row r="41" spans="1:13">
      <c r="A41" t="s">
        <v>140</v>
      </c>
      <c r="B41" t="s">
        <v>128</v>
      </c>
      <c r="C41">
        <v>30</v>
      </c>
      <c r="D41">
        <v>15</v>
      </c>
      <c r="E41">
        <v>0.0002932004602993</v>
      </c>
      <c r="F41">
        <v>0.0005549711103126</v>
      </c>
      <c r="G41">
        <v>0.0021867696258038</v>
      </c>
      <c r="H41">
        <v>0</v>
      </c>
      <c r="J41" t="b">
        <v>1</v>
      </c>
      <c r="K41">
        <v>26.78906239057994</v>
      </c>
      <c r="L41" t="b">
        <v>1</v>
      </c>
      <c r="M41" t="b">
        <v>1</v>
      </c>
    </row>
    <row r="42" spans="1:13">
      <c r="A42" t="s">
        <v>140</v>
      </c>
      <c r="B42" t="s">
        <v>129</v>
      </c>
      <c r="C42">
        <v>30</v>
      </c>
      <c r="D42">
        <v>15</v>
      </c>
      <c r="E42">
        <v>0.0005472333812185</v>
      </c>
      <c r="F42">
        <v>0.0009959328372735</v>
      </c>
      <c r="G42">
        <v>0.0021867696258038</v>
      </c>
      <c r="H42">
        <v>0</v>
      </c>
      <c r="J42" t="b">
        <v>1</v>
      </c>
      <c r="K42">
        <v>30.1306701933008</v>
      </c>
      <c r="L42" t="b">
        <v>1</v>
      </c>
      <c r="M42" t="b">
        <v>1</v>
      </c>
    </row>
    <row r="43" spans="1:13">
      <c r="A43" t="s">
        <v>140</v>
      </c>
      <c r="B43" t="s">
        <v>130</v>
      </c>
      <c r="C43">
        <v>30</v>
      </c>
      <c r="D43">
        <v>15</v>
      </c>
      <c r="E43">
        <v>0.0008107198647452</v>
      </c>
      <c r="F43">
        <v>0.0013975831905203</v>
      </c>
      <c r="G43">
        <v>0.0021867696258038</v>
      </c>
      <c r="H43">
        <v>0</v>
      </c>
      <c r="J43" t="b">
        <v>1</v>
      </c>
      <c r="K43">
        <v>32.63998492761147</v>
      </c>
      <c r="L43" t="b">
        <v>1</v>
      </c>
      <c r="M43" t="b">
        <v>1</v>
      </c>
    </row>
    <row r="44" spans="1:13">
      <c r="A44" t="s">
        <v>140</v>
      </c>
      <c r="B44" t="s">
        <v>131</v>
      </c>
      <c r="C44">
        <v>30</v>
      </c>
      <c r="D44">
        <v>15</v>
      </c>
      <c r="E44">
        <v>0.0011702258812204</v>
      </c>
      <c r="F44">
        <v>0.0018682532434539</v>
      </c>
      <c r="G44">
        <v>0.0021867696258038</v>
      </c>
      <c r="H44">
        <v>0</v>
      </c>
      <c r="J44" t="b">
        <v>1</v>
      </c>
      <c r="K44">
        <v>34.71943796596513</v>
      </c>
      <c r="L44" t="b">
        <v>1</v>
      </c>
      <c r="M44" t="b">
        <v>1</v>
      </c>
    </row>
    <row r="45" spans="1:13">
      <c r="A45" t="s">
        <v>140</v>
      </c>
      <c r="B45" t="s">
        <v>132</v>
      </c>
      <c r="C45">
        <v>30</v>
      </c>
      <c r="D45">
        <v>15</v>
      </c>
      <c r="E45">
        <v>0.0002932004602993</v>
      </c>
      <c r="F45">
        <v>0.0005549711103126</v>
      </c>
      <c r="G45">
        <v>0.0021867696258038</v>
      </c>
      <c r="H45">
        <v>0</v>
      </c>
      <c r="J45" t="b">
        <v>1</v>
      </c>
      <c r="K45">
        <v>24.28023903107572</v>
      </c>
      <c r="L45" t="b">
        <v>1</v>
      </c>
      <c r="M45" t="b">
        <v>1</v>
      </c>
    </row>
    <row r="46" spans="1:13">
      <c r="A46" t="s">
        <v>140</v>
      </c>
      <c r="B46" t="s">
        <v>133</v>
      </c>
      <c r="C46">
        <v>30</v>
      </c>
      <c r="D46">
        <v>15</v>
      </c>
      <c r="E46">
        <v>0.0005472333812185</v>
      </c>
      <c r="F46">
        <v>0.0009959328372735</v>
      </c>
      <c r="G46">
        <v>0.0021867696258038</v>
      </c>
      <c r="H46">
        <v>0</v>
      </c>
      <c r="J46" t="b">
        <v>1</v>
      </c>
      <c r="K46">
        <v>27.62344810259734</v>
      </c>
      <c r="L46" t="b">
        <v>1</v>
      </c>
      <c r="M46" t="b">
        <v>1</v>
      </c>
    </row>
    <row r="47" spans="1:13">
      <c r="A47" t="s">
        <v>140</v>
      </c>
      <c r="B47" t="s">
        <v>134</v>
      </c>
      <c r="C47">
        <v>30</v>
      </c>
      <c r="D47">
        <v>15</v>
      </c>
      <c r="E47">
        <v>0.0008107198647452</v>
      </c>
      <c r="F47">
        <v>0.0013975831905203</v>
      </c>
      <c r="G47">
        <v>0.0021867696258038</v>
      </c>
      <c r="H47">
        <v>0</v>
      </c>
      <c r="J47" t="b">
        <v>1</v>
      </c>
      <c r="K47">
        <v>30.12808148452066</v>
      </c>
      <c r="L47" t="b">
        <v>1</v>
      </c>
      <c r="M47" t="b">
        <v>1</v>
      </c>
    </row>
    <row r="48" spans="1:13">
      <c r="A48" t="s">
        <v>140</v>
      </c>
      <c r="B48" t="s">
        <v>135</v>
      </c>
      <c r="C48">
        <v>30</v>
      </c>
      <c r="D48">
        <v>15</v>
      </c>
      <c r="E48">
        <v>0.0011702258812204</v>
      </c>
      <c r="F48">
        <v>0.0018682532434539</v>
      </c>
      <c r="G48">
        <v>0.0021867696258038</v>
      </c>
      <c r="H48">
        <v>0</v>
      </c>
      <c r="J48" t="b">
        <v>1</v>
      </c>
      <c r="K48">
        <v>32.20329504329094</v>
      </c>
      <c r="L48" t="b">
        <v>1</v>
      </c>
      <c r="M48" t="b">
        <v>1</v>
      </c>
    </row>
    <row r="49" spans="1:13">
      <c r="A49" t="s">
        <v>140</v>
      </c>
      <c r="B49" t="s">
        <v>136</v>
      </c>
      <c r="C49">
        <v>30</v>
      </c>
      <c r="D49">
        <v>15</v>
      </c>
      <c r="E49">
        <v>0.0002932004602993</v>
      </c>
      <c r="F49">
        <v>0.0005549711103126</v>
      </c>
      <c r="G49">
        <v>0.0021867696258038</v>
      </c>
      <c r="H49">
        <v>0</v>
      </c>
      <c r="J49" t="b">
        <v>1</v>
      </c>
      <c r="K49">
        <v>22.22668952714031</v>
      </c>
      <c r="L49" t="b">
        <v>1</v>
      </c>
      <c r="M49" t="b">
        <v>1</v>
      </c>
    </row>
    <row r="50" spans="1:13">
      <c r="A50" t="s">
        <v>140</v>
      </c>
      <c r="B50" t="s">
        <v>137</v>
      </c>
      <c r="C50">
        <v>30</v>
      </c>
      <c r="D50">
        <v>15</v>
      </c>
      <c r="E50">
        <v>0.0005472333812185</v>
      </c>
      <c r="F50">
        <v>0.0009959328372735</v>
      </c>
      <c r="G50">
        <v>0.0021867696258038</v>
      </c>
      <c r="H50">
        <v>0</v>
      </c>
      <c r="J50" t="b">
        <v>1</v>
      </c>
      <c r="K50">
        <v>25.57637724267678</v>
      </c>
      <c r="L50" t="b">
        <v>1</v>
      </c>
      <c r="M50" t="b">
        <v>1</v>
      </c>
    </row>
    <row r="51" spans="1:13">
      <c r="A51" t="s">
        <v>140</v>
      </c>
      <c r="B51" t="s">
        <v>138</v>
      </c>
      <c r="C51">
        <v>30</v>
      </c>
      <c r="D51">
        <v>15</v>
      </c>
      <c r="E51">
        <v>0.0008107198647452</v>
      </c>
      <c r="F51">
        <v>0.0013975831905203</v>
      </c>
      <c r="G51">
        <v>0.0021867696258038</v>
      </c>
      <c r="H51">
        <v>0</v>
      </c>
      <c r="J51" t="b">
        <v>1</v>
      </c>
      <c r="K51">
        <v>28.0865770581638</v>
      </c>
      <c r="L51" t="b">
        <v>1</v>
      </c>
      <c r="M51" t="b">
        <v>1</v>
      </c>
    </row>
    <row r="52" spans="1:13">
      <c r="A52" t="s">
        <v>140</v>
      </c>
      <c r="B52" t="s">
        <v>139</v>
      </c>
      <c r="C52">
        <v>30</v>
      </c>
      <c r="D52">
        <v>15</v>
      </c>
      <c r="E52">
        <v>0.0011702258812204</v>
      </c>
      <c r="F52">
        <v>0.0018682532434539</v>
      </c>
      <c r="G52">
        <v>0.0021867696258038</v>
      </c>
      <c r="H52">
        <v>0</v>
      </c>
      <c r="J52" t="b">
        <v>1</v>
      </c>
      <c r="K52">
        <v>30.16851899551156</v>
      </c>
      <c r="L52" t="b">
        <v>1</v>
      </c>
      <c r="M52" t="b">
        <v>1</v>
      </c>
    </row>
    <row r="53" spans="1:13">
      <c r="A53" t="s">
        <v>142</v>
      </c>
      <c r="B53" t="s">
        <v>116</v>
      </c>
      <c r="C53">
        <v>30</v>
      </c>
      <c r="D53">
        <v>15</v>
      </c>
      <c r="E53">
        <v>0.0037927190779105</v>
      </c>
      <c r="F53">
        <v>0</v>
      </c>
      <c r="G53">
        <v>0.0037927190779127</v>
      </c>
      <c r="H53">
        <v>0.0385666164627735</v>
      </c>
      <c r="I53">
        <v>0</v>
      </c>
      <c r="J53" t="b">
        <v>1</v>
      </c>
      <c r="K53">
        <v>61.69197112722031</v>
      </c>
      <c r="L53" t="b">
        <v>1</v>
      </c>
      <c r="M53" t="b">
        <v>1</v>
      </c>
    </row>
    <row r="54" spans="1:13">
      <c r="A54" t="s">
        <v>142</v>
      </c>
      <c r="B54" t="s">
        <v>117</v>
      </c>
      <c r="C54">
        <v>30</v>
      </c>
      <c r="D54">
        <v>15</v>
      </c>
      <c r="E54">
        <v>0.0037927190779105</v>
      </c>
      <c r="F54">
        <v>0</v>
      </c>
      <c r="G54">
        <v>0.0037927190779127</v>
      </c>
      <c r="H54">
        <v>0.0694803130096843</v>
      </c>
      <c r="I54">
        <v>0</v>
      </c>
      <c r="J54" t="b">
        <v>1</v>
      </c>
      <c r="K54">
        <v>60.9316402862575</v>
      </c>
      <c r="L54" t="b">
        <v>1</v>
      </c>
      <c r="M54" t="b">
        <v>1</v>
      </c>
    </row>
    <row r="55" spans="1:13">
      <c r="A55" t="s">
        <v>142</v>
      </c>
      <c r="B55" t="s">
        <v>118</v>
      </c>
      <c r="C55">
        <v>30</v>
      </c>
      <c r="D55">
        <v>15</v>
      </c>
      <c r="E55">
        <v>0.0037927190779105</v>
      </c>
      <c r="F55">
        <v>0</v>
      </c>
      <c r="G55">
        <v>0.0037927190779127</v>
      </c>
      <c r="H55">
        <v>0.1021086823117087</v>
      </c>
      <c r="I55">
        <v>15</v>
      </c>
      <c r="J55" t="b">
        <v>1</v>
      </c>
      <c r="K55">
        <v>60.53600073656611</v>
      </c>
      <c r="L55" t="b">
        <v>1</v>
      </c>
      <c r="M55" t="b">
        <v>1</v>
      </c>
    </row>
    <row r="56" spans="1:13">
      <c r="A56" t="s">
        <v>142</v>
      </c>
      <c r="B56" t="s">
        <v>119</v>
      </c>
      <c r="C56">
        <v>30</v>
      </c>
      <c r="D56">
        <v>15</v>
      </c>
      <c r="E56">
        <v>0.0037927190779105</v>
      </c>
      <c r="F56">
        <v>0</v>
      </c>
      <c r="G56">
        <v>0.0037927190779127</v>
      </c>
      <c r="H56">
        <v>0.130876869968084</v>
      </c>
      <c r="I56">
        <v>15</v>
      </c>
      <c r="J56" t="b">
        <v>1</v>
      </c>
      <c r="K56">
        <v>60.16851046441403</v>
      </c>
      <c r="L56" t="b">
        <v>1</v>
      </c>
      <c r="M56" t="b">
        <v>1</v>
      </c>
    </row>
    <row r="57" spans="1:13">
      <c r="A57" t="s">
        <v>142</v>
      </c>
      <c r="B57" t="s">
        <v>120</v>
      </c>
      <c r="C57">
        <v>30</v>
      </c>
      <c r="D57">
        <v>15</v>
      </c>
      <c r="E57">
        <v>0.0182064296323213</v>
      </c>
      <c r="F57">
        <v>0</v>
      </c>
      <c r="G57">
        <v>0.0037927190779127</v>
      </c>
      <c r="H57">
        <v>0.0515209403258509</v>
      </c>
      <c r="I57">
        <v>0</v>
      </c>
      <c r="J57" t="b">
        <v>1</v>
      </c>
      <c r="K57">
        <v>54.99779499874222</v>
      </c>
      <c r="L57" t="b">
        <v>1</v>
      </c>
      <c r="M57" t="b">
        <v>0</v>
      </c>
    </row>
    <row r="58" spans="1:13">
      <c r="A58" t="s">
        <v>142</v>
      </c>
      <c r="B58" t="s">
        <v>121</v>
      </c>
      <c r="C58">
        <v>30</v>
      </c>
      <c r="D58">
        <v>15</v>
      </c>
      <c r="E58">
        <v>0.0289697521756713</v>
      </c>
      <c r="F58">
        <v>0</v>
      </c>
      <c r="G58">
        <v>0.0037927190779127</v>
      </c>
      <c r="H58">
        <v>0.0927838134814464</v>
      </c>
      <c r="I58">
        <v>0</v>
      </c>
      <c r="J58" t="b">
        <v>1</v>
      </c>
      <c r="K58">
        <v>54.38124119981467</v>
      </c>
      <c r="L58" t="b">
        <v>1</v>
      </c>
      <c r="M58" t="b">
        <v>0</v>
      </c>
    </row>
    <row r="59" spans="1:13">
      <c r="A59" t="s">
        <v>142</v>
      </c>
      <c r="B59" t="s">
        <v>122</v>
      </c>
      <c r="C59">
        <v>30</v>
      </c>
      <c r="D59">
        <v>15</v>
      </c>
      <c r="E59">
        <v>0.0416728598296027</v>
      </c>
      <c r="F59">
        <v>0</v>
      </c>
      <c r="G59">
        <v>0.0037927190779127</v>
      </c>
      <c r="H59">
        <v>0.1329596613092869</v>
      </c>
      <c r="I59">
        <v>0</v>
      </c>
      <c r="J59" t="b">
        <v>1</v>
      </c>
      <c r="K59">
        <v>53.94469126856407</v>
      </c>
      <c r="L59" t="b">
        <v>1</v>
      </c>
      <c r="M59" t="b">
        <v>0</v>
      </c>
    </row>
    <row r="60" spans="1:13">
      <c r="A60" t="s">
        <v>142</v>
      </c>
      <c r="B60" t="s">
        <v>123</v>
      </c>
      <c r="C60">
        <v>30</v>
      </c>
      <c r="D60">
        <v>15</v>
      </c>
      <c r="E60">
        <v>0.0016516901521493</v>
      </c>
      <c r="F60">
        <v>0.0027116316226866</v>
      </c>
      <c r="G60">
        <v>0.0037927190779127</v>
      </c>
      <c r="H60">
        <v>0</v>
      </c>
      <c r="J60" t="b">
        <v>1</v>
      </c>
      <c r="K60">
        <v>42.36598419716913</v>
      </c>
      <c r="L60" t="b">
        <v>1</v>
      </c>
      <c r="M60" t="b">
        <v>1</v>
      </c>
    </row>
    <row r="61" spans="1:13">
      <c r="A61" t="s">
        <v>142</v>
      </c>
      <c r="B61" t="s">
        <v>124</v>
      </c>
      <c r="C61">
        <v>30</v>
      </c>
      <c r="D61">
        <v>15</v>
      </c>
      <c r="E61">
        <v>0.0003764053495229</v>
      </c>
      <c r="F61">
        <v>0.0007131622895531</v>
      </c>
      <c r="G61">
        <v>0.0037927190779127</v>
      </c>
      <c r="H61">
        <v>0</v>
      </c>
      <c r="J61" t="b">
        <v>1</v>
      </c>
      <c r="K61">
        <v>30.17115423569123</v>
      </c>
      <c r="L61" t="b">
        <v>1</v>
      </c>
      <c r="M61" t="b">
        <v>1</v>
      </c>
    </row>
    <row r="62" spans="1:13">
      <c r="A62" t="s">
        <v>142</v>
      </c>
      <c r="B62" t="s">
        <v>125</v>
      </c>
      <c r="C62">
        <v>30</v>
      </c>
      <c r="D62">
        <v>15</v>
      </c>
      <c r="E62">
        <v>0.0007389821708193</v>
      </c>
      <c r="F62">
        <v>0.0013504174258103</v>
      </c>
      <c r="G62">
        <v>0.0037927190779127</v>
      </c>
      <c r="H62">
        <v>0</v>
      </c>
      <c r="J62" t="b">
        <v>1</v>
      </c>
      <c r="K62">
        <v>33.42963450086742</v>
      </c>
      <c r="L62" t="b">
        <v>1</v>
      </c>
      <c r="M62" t="b">
        <v>1</v>
      </c>
    </row>
    <row r="63" spans="1:13">
      <c r="A63" t="s">
        <v>142</v>
      </c>
      <c r="B63" t="s">
        <v>126</v>
      </c>
      <c r="C63">
        <v>30</v>
      </c>
      <c r="D63">
        <v>15</v>
      </c>
      <c r="E63">
        <v>0.0011678847271886</v>
      </c>
      <c r="F63">
        <v>0.0020374799509679</v>
      </c>
      <c r="G63">
        <v>0.0037927190779127</v>
      </c>
      <c r="H63">
        <v>0</v>
      </c>
      <c r="J63" t="b">
        <v>1</v>
      </c>
      <c r="K63">
        <v>35.84188171690528</v>
      </c>
      <c r="L63" t="b">
        <v>1</v>
      </c>
      <c r="M63" t="b">
        <v>1</v>
      </c>
    </row>
    <row r="64" spans="1:13">
      <c r="A64" t="s">
        <v>142</v>
      </c>
      <c r="B64" t="s">
        <v>127</v>
      </c>
      <c r="C64">
        <v>30</v>
      </c>
      <c r="D64">
        <v>15</v>
      </c>
      <c r="E64">
        <v>0.0016516901521493</v>
      </c>
      <c r="F64">
        <v>0.0027116316226866</v>
      </c>
      <c r="G64">
        <v>0.0037927190779127</v>
      </c>
      <c r="H64">
        <v>0</v>
      </c>
      <c r="J64" t="b">
        <v>1</v>
      </c>
      <c r="K64">
        <v>37.80470459760252</v>
      </c>
      <c r="L64" t="b">
        <v>1</v>
      </c>
      <c r="M64" t="b">
        <v>1</v>
      </c>
    </row>
    <row r="65" spans="1:13">
      <c r="A65" t="s">
        <v>142</v>
      </c>
      <c r="B65" t="s">
        <v>128</v>
      </c>
      <c r="C65">
        <v>30</v>
      </c>
      <c r="D65">
        <v>15</v>
      </c>
      <c r="E65">
        <v>0.0003764053495229</v>
      </c>
      <c r="F65">
        <v>0.0007131622895531</v>
      </c>
      <c r="G65">
        <v>0.0037927190779127</v>
      </c>
      <c r="H65">
        <v>0</v>
      </c>
      <c r="J65" t="b">
        <v>1</v>
      </c>
      <c r="K65">
        <v>26.93612178606344</v>
      </c>
      <c r="L65" t="b">
        <v>1</v>
      </c>
      <c r="M65" t="b">
        <v>1</v>
      </c>
    </row>
    <row r="66" spans="1:13">
      <c r="A66" t="s">
        <v>142</v>
      </c>
      <c r="B66" t="s">
        <v>129</v>
      </c>
      <c r="C66">
        <v>30</v>
      </c>
      <c r="D66">
        <v>15</v>
      </c>
      <c r="E66">
        <v>0.0007389821708193</v>
      </c>
      <c r="F66">
        <v>0.0013504174258103</v>
      </c>
      <c r="G66">
        <v>0.0037927190779127</v>
      </c>
      <c r="H66">
        <v>0</v>
      </c>
      <c r="J66" t="b">
        <v>1</v>
      </c>
      <c r="K66">
        <v>30.19915001005558</v>
      </c>
      <c r="L66" t="b">
        <v>1</v>
      </c>
      <c r="M66" t="b">
        <v>1</v>
      </c>
    </row>
    <row r="67" spans="1:13">
      <c r="A67" t="s">
        <v>142</v>
      </c>
      <c r="B67" t="s">
        <v>130</v>
      </c>
      <c r="C67">
        <v>30</v>
      </c>
      <c r="D67">
        <v>15</v>
      </c>
      <c r="E67">
        <v>0.0011678847271886</v>
      </c>
      <c r="F67">
        <v>0.0020374799509679</v>
      </c>
      <c r="G67">
        <v>0.0037927190779127</v>
      </c>
      <c r="H67">
        <v>0</v>
      </c>
      <c r="J67" t="b">
        <v>1</v>
      </c>
      <c r="K67">
        <v>32.60922288727883</v>
      </c>
      <c r="L67" t="b">
        <v>1</v>
      </c>
      <c r="M67" t="b">
        <v>1</v>
      </c>
    </row>
    <row r="68" spans="1:13">
      <c r="A68" t="s">
        <v>142</v>
      </c>
      <c r="B68" t="s">
        <v>131</v>
      </c>
      <c r="C68">
        <v>30</v>
      </c>
      <c r="D68">
        <v>15</v>
      </c>
      <c r="E68">
        <v>0.0016516901521493</v>
      </c>
      <c r="F68">
        <v>0.0027116316226866</v>
      </c>
      <c r="G68">
        <v>0.0037927190779127</v>
      </c>
      <c r="H68">
        <v>0</v>
      </c>
      <c r="J68" t="b">
        <v>1</v>
      </c>
      <c r="K68">
        <v>34.57686410385357</v>
      </c>
      <c r="L68" t="b">
        <v>1</v>
      </c>
      <c r="M68" t="b">
        <v>1</v>
      </c>
    </row>
    <row r="69" spans="1:13">
      <c r="A69" t="s">
        <v>142</v>
      </c>
      <c r="B69" t="s">
        <v>132</v>
      </c>
      <c r="C69">
        <v>30</v>
      </c>
      <c r="D69">
        <v>15</v>
      </c>
      <c r="E69">
        <v>0.0003764053495229</v>
      </c>
      <c r="F69">
        <v>0.0007131622895531</v>
      </c>
      <c r="G69">
        <v>0.0037927190779127</v>
      </c>
      <c r="H69">
        <v>0</v>
      </c>
      <c r="J69" t="b">
        <v>1</v>
      </c>
      <c r="K69">
        <v>24.42548542014862</v>
      </c>
      <c r="L69" t="b">
        <v>1</v>
      </c>
      <c r="M69" t="b">
        <v>1</v>
      </c>
    </row>
    <row r="70" spans="1:13">
      <c r="A70" t="s">
        <v>142</v>
      </c>
      <c r="B70" t="s">
        <v>133</v>
      </c>
      <c r="C70">
        <v>30</v>
      </c>
      <c r="D70">
        <v>15</v>
      </c>
      <c r="E70">
        <v>0.0007389821708193</v>
      </c>
      <c r="F70">
        <v>0.0013504174258103</v>
      </c>
      <c r="G70">
        <v>0.0037927190779127</v>
      </c>
      <c r="H70">
        <v>0</v>
      </c>
      <c r="J70" t="b">
        <v>1</v>
      </c>
      <c r="K70">
        <v>27.68609319495567</v>
      </c>
      <c r="L70" t="b">
        <v>1</v>
      </c>
      <c r="M70" t="b">
        <v>1</v>
      </c>
    </row>
    <row r="71" spans="1:13">
      <c r="A71" t="s">
        <v>142</v>
      </c>
      <c r="B71" t="s">
        <v>134</v>
      </c>
      <c r="C71">
        <v>30</v>
      </c>
      <c r="D71">
        <v>15</v>
      </c>
      <c r="E71">
        <v>0.0011678847271886</v>
      </c>
      <c r="F71">
        <v>0.0020374799509679</v>
      </c>
      <c r="G71">
        <v>0.0037927190779127</v>
      </c>
      <c r="H71">
        <v>0</v>
      </c>
      <c r="J71" t="b">
        <v>1</v>
      </c>
      <c r="K71">
        <v>30.1051291197183</v>
      </c>
      <c r="L71" t="b">
        <v>1</v>
      </c>
      <c r="M71" t="b">
        <v>1</v>
      </c>
    </row>
    <row r="72" spans="1:13">
      <c r="A72" t="s">
        <v>142</v>
      </c>
      <c r="B72" t="s">
        <v>135</v>
      </c>
      <c r="C72">
        <v>30</v>
      </c>
      <c r="D72">
        <v>15</v>
      </c>
      <c r="E72">
        <v>0.0016516901521493</v>
      </c>
      <c r="F72">
        <v>0.0027116316226866</v>
      </c>
      <c r="G72">
        <v>0.0037927190779127</v>
      </c>
      <c r="H72">
        <v>0</v>
      </c>
      <c r="J72" t="b">
        <v>1</v>
      </c>
      <c r="K72">
        <v>32.060508627902</v>
      </c>
      <c r="L72" t="b">
        <v>1</v>
      </c>
      <c r="M72" t="b">
        <v>1</v>
      </c>
    </row>
    <row r="73" spans="1:13">
      <c r="A73" t="s">
        <v>142</v>
      </c>
      <c r="B73" t="s">
        <v>136</v>
      </c>
      <c r="C73">
        <v>30</v>
      </c>
      <c r="D73">
        <v>15</v>
      </c>
      <c r="E73">
        <v>0.0003764053495229</v>
      </c>
      <c r="F73">
        <v>0.0007131622895531</v>
      </c>
      <c r="G73">
        <v>0.0037927190779127</v>
      </c>
      <c r="H73">
        <v>0</v>
      </c>
      <c r="J73" t="b">
        <v>1</v>
      </c>
      <c r="K73">
        <v>22.37503683096378</v>
      </c>
      <c r="L73" t="b">
        <v>1</v>
      </c>
      <c r="M73" t="b">
        <v>1</v>
      </c>
    </row>
    <row r="74" spans="1:13">
      <c r="A74" t="s">
        <v>142</v>
      </c>
      <c r="B74" t="s">
        <v>137</v>
      </c>
      <c r="C74">
        <v>30</v>
      </c>
      <c r="D74">
        <v>15</v>
      </c>
      <c r="E74">
        <v>0.0007389821708193</v>
      </c>
      <c r="F74">
        <v>0.0013504174258103</v>
      </c>
      <c r="G74">
        <v>0.0037927190779127</v>
      </c>
      <c r="H74">
        <v>0</v>
      </c>
      <c r="J74" t="b">
        <v>1</v>
      </c>
      <c r="K74">
        <v>25.63996873448034</v>
      </c>
      <c r="L74" t="b">
        <v>1</v>
      </c>
      <c r="M74" t="b">
        <v>1</v>
      </c>
    </row>
    <row r="75" spans="1:13">
      <c r="A75" t="s">
        <v>142</v>
      </c>
      <c r="B75" t="s">
        <v>138</v>
      </c>
      <c r="C75">
        <v>30</v>
      </c>
      <c r="D75">
        <v>15</v>
      </c>
      <c r="E75">
        <v>0.0011678847271886</v>
      </c>
      <c r="F75">
        <v>0.0020374799509679</v>
      </c>
      <c r="G75">
        <v>0.0037927190779127</v>
      </c>
      <c r="H75">
        <v>0</v>
      </c>
      <c r="J75" t="b">
        <v>1</v>
      </c>
      <c r="K75">
        <v>28.0527716952804</v>
      </c>
      <c r="L75" t="b">
        <v>1</v>
      </c>
      <c r="M75" t="b">
        <v>1</v>
      </c>
    </row>
    <row r="76" spans="1:13">
      <c r="A76" t="s">
        <v>142</v>
      </c>
      <c r="B76" t="s">
        <v>139</v>
      </c>
      <c r="C76">
        <v>30</v>
      </c>
      <c r="D76">
        <v>15</v>
      </c>
      <c r="E76">
        <v>0.0016516901521493</v>
      </c>
      <c r="F76">
        <v>0.0027116316226866</v>
      </c>
      <c r="G76">
        <v>0.0037927190779127</v>
      </c>
      <c r="H76">
        <v>0</v>
      </c>
      <c r="J76" t="b">
        <v>1</v>
      </c>
      <c r="K76">
        <v>30.02310829424601</v>
      </c>
      <c r="L76" t="b">
        <v>1</v>
      </c>
      <c r="M76" t="b">
        <v>1</v>
      </c>
    </row>
    <row r="77" spans="1:13">
      <c r="A77" t="s">
        <v>144</v>
      </c>
      <c r="B77" t="s">
        <v>116</v>
      </c>
      <c r="C77">
        <v>30</v>
      </c>
      <c r="D77">
        <v>15</v>
      </c>
      <c r="E77">
        <v>0.0001461772319884</v>
      </c>
      <c r="F77">
        <v>0</v>
      </c>
      <c r="G77">
        <v>0.000146177231987</v>
      </c>
      <c r="H77">
        <v>0.0417008357786983</v>
      </c>
      <c r="I77">
        <v>15</v>
      </c>
      <c r="J77" t="b">
        <v>1</v>
      </c>
      <c r="K77">
        <v>62.61285484059442</v>
      </c>
      <c r="L77" t="b">
        <v>1</v>
      </c>
      <c r="M77" t="b">
        <v>1</v>
      </c>
    </row>
    <row r="78" spans="1:13">
      <c r="A78" t="s">
        <v>144</v>
      </c>
      <c r="B78" t="s">
        <v>117</v>
      </c>
      <c r="C78">
        <v>30</v>
      </c>
      <c r="D78">
        <v>15</v>
      </c>
      <c r="E78">
        <v>0.0001461772319884</v>
      </c>
      <c r="F78">
        <v>0</v>
      </c>
      <c r="G78">
        <v>0.000146177231987</v>
      </c>
      <c r="H78">
        <v>0.0777205126718172</v>
      </c>
      <c r="I78">
        <v>0</v>
      </c>
      <c r="J78" t="b">
        <v>1</v>
      </c>
      <c r="K78">
        <v>62.28977699802272</v>
      </c>
      <c r="L78" t="b">
        <v>1</v>
      </c>
      <c r="M78" t="b">
        <v>1</v>
      </c>
    </row>
    <row r="79" spans="1:13">
      <c r="A79" t="s">
        <v>144</v>
      </c>
      <c r="B79" t="s">
        <v>118</v>
      </c>
      <c r="C79">
        <v>30</v>
      </c>
      <c r="D79">
        <v>15</v>
      </c>
      <c r="E79">
        <v>0.0001461772319884</v>
      </c>
      <c r="F79">
        <v>0</v>
      </c>
      <c r="G79">
        <v>0.000146177231987</v>
      </c>
      <c r="H79">
        <v>0.1159262992842968</v>
      </c>
      <c r="I79">
        <v>0</v>
      </c>
      <c r="J79" t="b">
        <v>1</v>
      </c>
      <c r="K79">
        <v>61.80654285379035</v>
      </c>
      <c r="L79" t="b">
        <v>1</v>
      </c>
      <c r="M79" t="b">
        <v>1</v>
      </c>
    </row>
    <row r="80" spans="1:13">
      <c r="A80" t="s">
        <v>144</v>
      </c>
      <c r="B80" t="s">
        <v>119</v>
      </c>
      <c r="C80">
        <v>30</v>
      </c>
      <c r="D80">
        <v>15</v>
      </c>
      <c r="E80">
        <v>0.0001461772319884</v>
      </c>
      <c r="F80">
        <v>0</v>
      </c>
      <c r="G80">
        <v>0.000146177231987</v>
      </c>
      <c r="H80">
        <v>0.1539588290091842</v>
      </c>
      <c r="I80">
        <v>15</v>
      </c>
      <c r="J80" t="b">
        <v>1</v>
      </c>
      <c r="K80">
        <v>61.52755722676773</v>
      </c>
      <c r="L80" t="b">
        <v>1</v>
      </c>
      <c r="M80" t="b">
        <v>1</v>
      </c>
    </row>
    <row r="81" spans="1:13">
      <c r="A81" t="s">
        <v>144</v>
      </c>
      <c r="B81" t="s">
        <v>120</v>
      </c>
      <c r="C81">
        <v>30</v>
      </c>
      <c r="D81">
        <v>15</v>
      </c>
      <c r="E81">
        <v>0.0001461772319863</v>
      </c>
      <c r="F81">
        <v>0</v>
      </c>
      <c r="G81">
        <v>0.000146177231987</v>
      </c>
      <c r="H81">
        <v>0.0563477805076786</v>
      </c>
      <c r="I81">
        <v>0</v>
      </c>
      <c r="J81" t="b">
        <v>1</v>
      </c>
      <c r="K81">
        <v>56.33018483787993</v>
      </c>
      <c r="L81" t="b">
        <v>1</v>
      </c>
      <c r="M81" t="b">
        <v>1</v>
      </c>
    </row>
    <row r="82" spans="1:13">
      <c r="A82" t="s">
        <v>144</v>
      </c>
      <c r="B82" t="s">
        <v>121</v>
      </c>
      <c r="C82">
        <v>30</v>
      </c>
      <c r="D82">
        <v>15</v>
      </c>
      <c r="E82">
        <v>0.0001461772319863</v>
      </c>
      <c r="F82">
        <v>0</v>
      </c>
      <c r="G82">
        <v>0.000146177231987</v>
      </c>
      <c r="H82">
        <v>0.1044958001781424</v>
      </c>
      <c r="I82">
        <v>15</v>
      </c>
      <c r="J82" t="b">
        <v>1</v>
      </c>
      <c r="K82">
        <v>55.80917195141382</v>
      </c>
      <c r="L82" t="b">
        <v>1</v>
      </c>
      <c r="M82" t="b">
        <v>1</v>
      </c>
    </row>
    <row r="83" spans="1:13">
      <c r="A83" t="s">
        <v>144</v>
      </c>
      <c r="B83" t="s">
        <v>122</v>
      </c>
      <c r="C83">
        <v>30</v>
      </c>
      <c r="D83">
        <v>15</v>
      </c>
      <c r="E83">
        <v>0.0001461772319863</v>
      </c>
      <c r="F83">
        <v>0</v>
      </c>
      <c r="G83">
        <v>0.000146177231987</v>
      </c>
      <c r="H83">
        <v>0.1556491051183854</v>
      </c>
      <c r="I83">
        <v>15</v>
      </c>
      <c r="J83" t="b">
        <v>1</v>
      </c>
      <c r="K83">
        <v>55.43643146291046</v>
      </c>
      <c r="L83" t="b">
        <v>1</v>
      </c>
      <c r="M83" t="b">
        <v>1</v>
      </c>
    </row>
    <row r="84" spans="1:13">
      <c r="A84" t="s">
        <v>144</v>
      </c>
      <c r="B84" t="s">
        <v>123</v>
      </c>
      <c r="C84">
        <v>30</v>
      </c>
      <c r="D84">
        <v>15</v>
      </c>
      <c r="E84">
        <v>0.0001461772319864</v>
      </c>
      <c r="F84">
        <v>0</v>
      </c>
      <c r="G84">
        <v>0.000146177231987</v>
      </c>
      <c r="H84">
        <v>0.2025663493284923</v>
      </c>
      <c r="I84">
        <v>0</v>
      </c>
      <c r="J84" t="b">
        <v>1</v>
      </c>
      <c r="K84">
        <v>55.06397010837745</v>
      </c>
      <c r="L84" t="b">
        <v>1</v>
      </c>
      <c r="M84" t="b">
        <v>1</v>
      </c>
    </row>
    <row r="85" spans="1:13">
      <c r="A85" t="s">
        <v>144</v>
      </c>
      <c r="B85" t="s">
        <v>124</v>
      </c>
      <c r="C85">
        <v>30</v>
      </c>
      <c r="D85">
        <v>15</v>
      </c>
      <c r="E85">
        <v>0.0001461772319781</v>
      </c>
      <c r="F85">
        <v>0</v>
      </c>
      <c r="G85">
        <v>0.000146177231987</v>
      </c>
      <c r="H85">
        <v>0.06564197655721669</v>
      </c>
      <c r="I85">
        <v>0</v>
      </c>
      <c r="J85" t="b">
        <v>1</v>
      </c>
      <c r="K85">
        <v>52.33005756505662</v>
      </c>
      <c r="L85" t="b">
        <v>1</v>
      </c>
      <c r="M85" t="b">
        <v>1</v>
      </c>
    </row>
    <row r="86" spans="1:13">
      <c r="A86" t="s">
        <v>144</v>
      </c>
      <c r="B86" t="s">
        <v>125</v>
      </c>
      <c r="C86">
        <v>30</v>
      </c>
      <c r="D86">
        <v>15</v>
      </c>
      <c r="E86">
        <v>0.0001461772319781</v>
      </c>
      <c r="F86">
        <v>0</v>
      </c>
      <c r="G86">
        <v>0.000146177231987</v>
      </c>
      <c r="H86">
        <v>0.1205249355238038</v>
      </c>
      <c r="I86">
        <v>15</v>
      </c>
      <c r="J86" t="b">
        <v>1</v>
      </c>
      <c r="K86">
        <v>51.80596946683806</v>
      </c>
      <c r="L86" t="b">
        <v>1</v>
      </c>
      <c r="M86" t="b">
        <v>1</v>
      </c>
    </row>
    <row r="87" spans="1:13">
      <c r="A87" t="s">
        <v>144</v>
      </c>
      <c r="B87" t="s">
        <v>126</v>
      </c>
      <c r="C87">
        <v>30</v>
      </c>
      <c r="D87">
        <v>15</v>
      </c>
      <c r="E87">
        <v>0.0001461772319781</v>
      </c>
      <c r="F87">
        <v>0</v>
      </c>
      <c r="G87">
        <v>0.000146177231987</v>
      </c>
      <c r="H87">
        <v>0.1771290627914865</v>
      </c>
      <c r="I87">
        <v>15</v>
      </c>
      <c r="J87" t="b">
        <v>1</v>
      </c>
      <c r="K87">
        <v>51.46212338488851</v>
      </c>
      <c r="L87" t="b">
        <v>1</v>
      </c>
      <c r="M87" t="b">
        <v>1</v>
      </c>
    </row>
    <row r="88" spans="1:13">
      <c r="A88" t="s">
        <v>144</v>
      </c>
      <c r="B88" t="s">
        <v>127</v>
      </c>
      <c r="C88">
        <v>30</v>
      </c>
      <c r="D88">
        <v>15</v>
      </c>
      <c r="E88">
        <v>0.0001461772319782</v>
      </c>
      <c r="F88">
        <v>0</v>
      </c>
      <c r="G88">
        <v>0.000146177231987</v>
      </c>
      <c r="H88">
        <v>0.2303842075322464</v>
      </c>
      <c r="I88">
        <v>15</v>
      </c>
      <c r="J88" t="b">
        <v>1</v>
      </c>
      <c r="K88">
        <v>51.34094520696451</v>
      </c>
      <c r="L88" t="b">
        <v>1</v>
      </c>
      <c r="M88" t="b">
        <v>1</v>
      </c>
    </row>
    <row r="89" spans="1:13">
      <c r="A89" t="s">
        <v>144</v>
      </c>
      <c r="B89" t="s">
        <v>128</v>
      </c>
      <c r="C89">
        <v>30</v>
      </c>
      <c r="D89">
        <v>15</v>
      </c>
      <c r="E89">
        <v>0.0001461772319781</v>
      </c>
      <c r="F89">
        <v>0</v>
      </c>
      <c r="G89">
        <v>0.000146177231987</v>
      </c>
      <c r="H89">
        <v>0.0730809841995281</v>
      </c>
      <c r="I89">
        <v>15</v>
      </c>
      <c r="J89" t="b">
        <v>1</v>
      </c>
      <c r="K89">
        <v>49.53394434123197</v>
      </c>
      <c r="L89" t="b">
        <v>1</v>
      </c>
      <c r="M89" t="b">
        <v>1</v>
      </c>
    </row>
    <row r="90" spans="1:13">
      <c r="A90" t="s">
        <v>144</v>
      </c>
      <c r="B90" t="s">
        <v>129</v>
      </c>
      <c r="C90">
        <v>30</v>
      </c>
      <c r="D90">
        <v>15</v>
      </c>
      <c r="E90">
        <v>0.0001461772319781</v>
      </c>
      <c r="F90">
        <v>0</v>
      </c>
      <c r="G90">
        <v>0.000146177231987</v>
      </c>
      <c r="H90">
        <v>0.1327213490052727</v>
      </c>
      <c r="I90">
        <v>15</v>
      </c>
      <c r="J90" t="b">
        <v>1</v>
      </c>
      <c r="K90">
        <v>48.9940437745652</v>
      </c>
      <c r="L90" t="b">
        <v>1</v>
      </c>
      <c r="M90" t="b">
        <v>1</v>
      </c>
    </row>
    <row r="91" spans="1:13">
      <c r="A91" t="s">
        <v>144</v>
      </c>
      <c r="B91" t="s">
        <v>130</v>
      </c>
      <c r="C91">
        <v>30</v>
      </c>
      <c r="D91">
        <v>15</v>
      </c>
      <c r="E91">
        <v>0.0001461772319782</v>
      </c>
      <c r="F91">
        <v>0</v>
      </c>
      <c r="G91">
        <v>0.000146177231987</v>
      </c>
      <c r="H91">
        <v>0.1925979123855121</v>
      </c>
      <c r="I91">
        <v>15</v>
      </c>
      <c r="J91" t="b">
        <v>1</v>
      </c>
      <c r="K91">
        <v>48.62863088829883</v>
      </c>
      <c r="L91" t="b">
        <v>1</v>
      </c>
      <c r="M91" t="b">
        <v>1</v>
      </c>
    </row>
    <row r="92" spans="1:13">
      <c r="A92" t="s">
        <v>144</v>
      </c>
      <c r="B92" t="s">
        <v>131</v>
      </c>
      <c r="C92">
        <v>30</v>
      </c>
      <c r="D92">
        <v>15</v>
      </c>
      <c r="E92">
        <v>0.0253367296033648</v>
      </c>
      <c r="F92">
        <v>0</v>
      </c>
      <c r="G92">
        <v>0.000146177231987</v>
      </c>
      <c r="H92">
        <v>0.2460474443524987</v>
      </c>
      <c r="I92">
        <v>15</v>
      </c>
      <c r="J92" t="b">
        <v>1</v>
      </c>
      <c r="K92">
        <v>48.56793909246662</v>
      </c>
      <c r="L92" t="b">
        <v>1</v>
      </c>
      <c r="M92" t="b">
        <v>0</v>
      </c>
    </row>
    <row r="93" spans="1:13">
      <c r="A93" t="s">
        <v>144</v>
      </c>
      <c r="B93" t="s">
        <v>132</v>
      </c>
      <c r="C93">
        <v>30</v>
      </c>
      <c r="D93">
        <v>15</v>
      </c>
      <c r="E93">
        <v>0.0053731543342142</v>
      </c>
      <c r="F93">
        <v>0</v>
      </c>
      <c r="G93">
        <v>0.000146177231987</v>
      </c>
      <c r="H93">
        <v>0.08038241774241681</v>
      </c>
      <c r="I93">
        <v>15</v>
      </c>
      <c r="J93" t="b">
        <v>1</v>
      </c>
      <c r="K93">
        <v>47.66521772838104</v>
      </c>
      <c r="L93" t="b">
        <v>1</v>
      </c>
      <c r="M93" t="b">
        <v>1</v>
      </c>
    </row>
    <row r="94" spans="1:13">
      <c r="A94" t="s">
        <v>144</v>
      </c>
      <c r="B94" t="s">
        <v>133</v>
      </c>
      <c r="C94">
        <v>30</v>
      </c>
      <c r="D94">
        <v>15</v>
      </c>
      <c r="E94">
        <v>0.0127818116196097</v>
      </c>
      <c r="F94">
        <v>0</v>
      </c>
      <c r="G94">
        <v>0.000146177231987</v>
      </c>
      <c r="H94">
        <v>0.1445036685123533</v>
      </c>
      <c r="I94">
        <v>15</v>
      </c>
      <c r="J94" t="b">
        <v>1</v>
      </c>
      <c r="K94">
        <v>47.07678527728305</v>
      </c>
      <c r="L94" t="b">
        <v>1</v>
      </c>
      <c r="M94" t="b">
        <v>0</v>
      </c>
    </row>
    <row r="95" spans="1:13">
      <c r="A95" t="s">
        <v>144</v>
      </c>
      <c r="B95" t="s">
        <v>134</v>
      </c>
      <c r="C95">
        <v>30</v>
      </c>
      <c r="D95">
        <v>15</v>
      </c>
      <c r="E95">
        <v>0.0007299278683214</v>
      </c>
      <c r="F95">
        <v>0.001378338609629</v>
      </c>
      <c r="G95">
        <v>0.000146177231987</v>
      </c>
      <c r="H95">
        <v>0</v>
      </c>
      <c r="J95" t="b">
        <v>1</v>
      </c>
      <c r="K95">
        <v>33.11554991598626</v>
      </c>
      <c r="L95" t="b">
        <v>1</v>
      </c>
      <c r="M95" t="b">
        <v>1</v>
      </c>
    </row>
    <row r="96" spans="1:13">
      <c r="A96" t="s">
        <v>144</v>
      </c>
      <c r="B96" t="s">
        <v>135</v>
      </c>
      <c r="C96">
        <v>30</v>
      </c>
      <c r="D96">
        <v>15</v>
      </c>
      <c r="E96">
        <v>0.0009927318427997</v>
      </c>
      <c r="F96">
        <v>0.001828810993945</v>
      </c>
      <c r="G96">
        <v>0.000146177231987</v>
      </c>
      <c r="H96">
        <v>0</v>
      </c>
      <c r="J96" t="b">
        <v>1</v>
      </c>
      <c r="K96">
        <v>35.11981480561204</v>
      </c>
      <c r="L96" t="b">
        <v>1</v>
      </c>
      <c r="M96" t="b">
        <v>1</v>
      </c>
    </row>
    <row r="97" spans="1:13">
      <c r="A97" t="s">
        <v>144</v>
      </c>
      <c r="B97" t="s">
        <v>136</v>
      </c>
      <c r="C97">
        <v>30</v>
      </c>
      <c r="D97">
        <v>15</v>
      </c>
      <c r="E97">
        <v>0.0002444668362078</v>
      </c>
      <c r="F97">
        <v>0.0004775740103369</v>
      </c>
      <c r="G97">
        <v>0.000146177231987</v>
      </c>
      <c r="H97">
        <v>0</v>
      </c>
      <c r="J97" t="b">
        <v>1</v>
      </c>
      <c r="K97">
        <v>25.32469596961278</v>
      </c>
      <c r="L97" t="b">
        <v>1</v>
      </c>
      <c r="M97" t="b">
        <v>1</v>
      </c>
    </row>
    <row r="98" spans="1:13">
      <c r="A98" t="s">
        <v>144</v>
      </c>
      <c r="B98" t="s">
        <v>137</v>
      </c>
      <c r="C98">
        <v>30</v>
      </c>
      <c r="D98">
        <v>15</v>
      </c>
      <c r="E98">
        <v>0.0004621682964619</v>
      </c>
      <c r="F98">
        <v>0.0008894058328321</v>
      </c>
      <c r="G98">
        <v>0.000146177231987</v>
      </c>
      <c r="H98">
        <v>0</v>
      </c>
      <c r="J98" t="b">
        <v>1</v>
      </c>
      <c r="K98">
        <v>28.61822164827856</v>
      </c>
      <c r="L98" t="b">
        <v>1</v>
      </c>
      <c r="M98" t="b">
        <v>1</v>
      </c>
    </row>
    <row r="99" spans="1:13">
      <c r="A99" t="s">
        <v>144</v>
      </c>
      <c r="B99" t="s">
        <v>138</v>
      </c>
      <c r="C99">
        <v>30</v>
      </c>
      <c r="D99">
        <v>15</v>
      </c>
      <c r="E99">
        <v>0.0007299278683214</v>
      </c>
      <c r="F99">
        <v>0.001378338609629</v>
      </c>
      <c r="G99">
        <v>0.000146177231987</v>
      </c>
      <c r="H99">
        <v>0</v>
      </c>
      <c r="J99" t="b">
        <v>1</v>
      </c>
      <c r="K99">
        <v>31.06940412848758</v>
      </c>
      <c r="L99" t="b">
        <v>1</v>
      </c>
      <c r="M99" t="b">
        <v>1</v>
      </c>
    </row>
    <row r="100" spans="1:13">
      <c r="A100" t="s">
        <v>144</v>
      </c>
      <c r="B100" t="s">
        <v>139</v>
      </c>
      <c r="C100">
        <v>30</v>
      </c>
      <c r="D100">
        <v>15</v>
      </c>
      <c r="E100">
        <v>0.0009927318427997</v>
      </c>
      <c r="F100">
        <v>0.001828810993945</v>
      </c>
      <c r="G100">
        <v>0.000146177231987</v>
      </c>
      <c r="H100">
        <v>0</v>
      </c>
      <c r="J100" t="b">
        <v>1</v>
      </c>
      <c r="K100">
        <v>33.06570285008092</v>
      </c>
      <c r="L100" t="b">
        <v>1</v>
      </c>
      <c r="M100" t="b">
        <v>1</v>
      </c>
    </row>
    <row r="101" spans="1:13">
      <c r="A101" t="s">
        <v>145</v>
      </c>
      <c r="B101" t="s">
        <v>116</v>
      </c>
      <c r="C101">
        <v>30</v>
      </c>
      <c r="D101">
        <v>15</v>
      </c>
      <c r="E101">
        <v>0.0024444782129878</v>
      </c>
      <c r="F101">
        <v>0</v>
      </c>
      <c r="G101">
        <v>0.0024444782129869</v>
      </c>
      <c r="H101">
        <v>0.0378307628798495</v>
      </c>
      <c r="I101">
        <v>0</v>
      </c>
      <c r="J101" t="b">
        <v>1</v>
      </c>
      <c r="K101">
        <v>59.53410703856434</v>
      </c>
      <c r="L101" t="b">
        <v>1</v>
      </c>
      <c r="M101" t="b">
        <v>1</v>
      </c>
    </row>
    <row r="102" spans="1:13">
      <c r="A102" t="s">
        <v>145</v>
      </c>
      <c r="B102" t="s">
        <v>117</v>
      </c>
      <c r="C102">
        <v>30</v>
      </c>
      <c r="D102">
        <v>15</v>
      </c>
      <c r="E102">
        <v>0.0024444782129878</v>
      </c>
      <c r="F102">
        <v>0</v>
      </c>
      <c r="G102">
        <v>0.0024444782129869</v>
      </c>
      <c r="H102">
        <v>0.07023452921666259</v>
      </c>
      <c r="I102">
        <v>15</v>
      </c>
      <c r="J102" t="b">
        <v>1</v>
      </c>
      <c r="K102">
        <v>59.27623204489834</v>
      </c>
      <c r="L102" t="b">
        <v>1</v>
      </c>
      <c r="M102" t="b">
        <v>1</v>
      </c>
    </row>
    <row r="103" spans="1:13">
      <c r="A103" t="s">
        <v>145</v>
      </c>
      <c r="B103" t="s">
        <v>118</v>
      </c>
      <c r="C103">
        <v>30</v>
      </c>
      <c r="D103">
        <v>15</v>
      </c>
      <c r="E103">
        <v>0.0024444782129878</v>
      </c>
      <c r="F103">
        <v>0</v>
      </c>
      <c r="G103">
        <v>0.0024444782129869</v>
      </c>
      <c r="H103">
        <v>0.1045322021471975</v>
      </c>
      <c r="I103">
        <v>15</v>
      </c>
      <c r="J103" t="b">
        <v>1</v>
      </c>
      <c r="K103">
        <v>58.87066427779075</v>
      </c>
      <c r="L103" t="b">
        <v>1</v>
      </c>
      <c r="M103" t="b">
        <v>1</v>
      </c>
    </row>
    <row r="104" spans="1:13">
      <c r="A104" t="s">
        <v>145</v>
      </c>
      <c r="B104" t="s">
        <v>119</v>
      </c>
      <c r="C104">
        <v>30</v>
      </c>
      <c r="D104">
        <v>15</v>
      </c>
      <c r="E104">
        <v>0.0024444782129878</v>
      </c>
      <c r="F104">
        <v>0</v>
      </c>
      <c r="G104">
        <v>0.0024444782129869</v>
      </c>
      <c r="H104">
        <v>0.1364895446637888</v>
      </c>
      <c r="I104">
        <v>0</v>
      </c>
      <c r="J104" t="b">
        <v>1</v>
      </c>
      <c r="K104">
        <v>58.61592589649618</v>
      </c>
      <c r="L104" t="b">
        <v>1</v>
      </c>
      <c r="M104" t="b">
        <v>1</v>
      </c>
    </row>
    <row r="105" spans="1:13">
      <c r="A105" t="s">
        <v>145</v>
      </c>
      <c r="B105" t="s">
        <v>120</v>
      </c>
      <c r="C105">
        <v>30</v>
      </c>
      <c r="D105">
        <v>15</v>
      </c>
      <c r="E105">
        <v>0.0025473289615414</v>
      </c>
      <c r="F105">
        <v>0</v>
      </c>
      <c r="G105">
        <v>0.0024444782129869</v>
      </c>
      <c r="H105">
        <v>0.0509793025959623</v>
      </c>
      <c r="I105">
        <v>15</v>
      </c>
      <c r="J105" t="b">
        <v>1</v>
      </c>
      <c r="K105">
        <v>53.32507648822258</v>
      </c>
      <c r="L105" t="b">
        <v>1</v>
      </c>
      <c r="M105" t="b">
        <v>1</v>
      </c>
    </row>
    <row r="106" spans="1:13">
      <c r="A106" t="s">
        <v>145</v>
      </c>
      <c r="B106" t="s">
        <v>121</v>
      </c>
      <c r="C106">
        <v>30</v>
      </c>
      <c r="D106">
        <v>15</v>
      </c>
      <c r="E106">
        <v>0.002629067570309</v>
      </c>
      <c r="F106">
        <v>0</v>
      </c>
      <c r="G106">
        <v>0.0024444782129869</v>
      </c>
      <c r="H106">
        <v>0.0928511851163733</v>
      </c>
      <c r="I106">
        <v>15</v>
      </c>
      <c r="J106" t="b">
        <v>1</v>
      </c>
      <c r="K106">
        <v>52.80576078204717</v>
      </c>
      <c r="L106" t="b">
        <v>1</v>
      </c>
      <c r="M106" t="b">
        <v>1</v>
      </c>
    </row>
    <row r="107" spans="1:13">
      <c r="A107" t="s">
        <v>145</v>
      </c>
      <c r="B107" t="s">
        <v>122</v>
      </c>
      <c r="C107">
        <v>30</v>
      </c>
      <c r="D107">
        <v>15</v>
      </c>
      <c r="E107">
        <v>0.002675961388165</v>
      </c>
      <c r="F107">
        <v>0</v>
      </c>
      <c r="G107">
        <v>0.0024444782129869</v>
      </c>
      <c r="H107">
        <v>0.1358698845736512</v>
      </c>
      <c r="I107">
        <v>15</v>
      </c>
      <c r="J107" t="b">
        <v>1</v>
      </c>
      <c r="K107">
        <v>52.37419247545816</v>
      </c>
      <c r="L107" t="b">
        <v>1</v>
      </c>
      <c r="M107" t="b">
        <v>1</v>
      </c>
    </row>
    <row r="108" spans="1:13">
      <c r="A108" t="s">
        <v>145</v>
      </c>
      <c r="B108" t="s">
        <v>123</v>
      </c>
      <c r="C108">
        <v>30</v>
      </c>
      <c r="D108">
        <v>15</v>
      </c>
      <c r="E108">
        <v>0.0042693219759066</v>
      </c>
      <c r="F108">
        <v>0</v>
      </c>
      <c r="G108">
        <v>0.0024444782129869</v>
      </c>
      <c r="H108">
        <v>0.1782029898758566</v>
      </c>
      <c r="I108">
        <v>0</v>
      </c>
      <c r="J108" t="b">
        <v>1</v>
      </c>
      <c r="K108">
        <v>52.29239391506582</v>
      </c>
      <c r="L108" t="b">
        <v>1</v>
      </c>
      <c r="M108" t="b">
        <v>1</v>
      </c>
    </row>
    <row r="109" spans="1:13">
      <c r="A109" t="s">
        <v>145</v>
      </c>
      <c r="B109" t="s">
        <v>124</v>
      </c>
      <c r="C109">
        <v>30</v>
      </c>
      <c r="D109">
        <v>15</v>
      </c>
      <c r="E109">
        <v>0.0025376511770825</v>
      </c>
      <c r="F109">
        <v>0</v>
      </c>
      <c r="G109">
        <v>0.0024444782129869</v>
      </c>
      <c r="H109">
        <v>0.0583386867680104</v>
      </c>
      <c r="I109">
        <v>15</v>
      </c>
      <c r="J109" t="b">
        <v>1</v>
      </c>
      <c r="K109">
        <v>49.27058527818815</v>
      </c>
      <c r="L109" t="b">
        <v>1</v>
      </c>
      <c r="M109" t="b">
        <v>1</v>
      </c>
    </row>
    <row r="110" spans="1:13">
      <c r="A110" t="s">
        <v>145</v>
      </c>
      <c r="B110" t="s">
        <v>125</v>
      </c>
      <c r="C110">
        <v>30</v>
      </c>
      <c r="D110">
        <v>15</v>
      </c>
      <c r="E110">
        <v>0.0067189401629174</v>
      </c>
      <c r="F110">
        <v>0</v>
      </c>
      <c r="G110">
        <v>0.0024444782129869</v>
      </c>
      <c r="H110">
        <v>0.1050009701093301</v>
      </c>
      <c r="I110">
        <v>0</v>
      </c>
      <c r="J110" t="b">
        <v>1</v>
      </c>
      <c r="K110">
        <v>48.77890700138181</v>
      </c>
      <c r="L110" t="b">
        <v>1</v>
      </c>
      <c r="M110" t="b">
        <v>1</v>
      </c>
    </row>
    <row r="111" spans="1:13">
      <c r="A111" t="s">
        <v>145</v>
      </c>
      <c r="B111" t="s">
        <v>126</v>
      </c>
      <c r="C111">
        <v>30</v>
      </c>
      <c r="D111">
        <v>15</v>
      </c>
      <c r="E111">
        <v>0.0029341546768184</v>
      </c>
      <c r="F111">
        <v>0</v>
      </c>
      <c r="G111">
        <v>0.0024444782129869</v>
      </c>
      <c r="H111">
        <v>0.1540738039839198</v>
      </c>
      <c r="I111">
        <v>15</v>
      </c>
      <c r="J111" t="b">
        <v>1</v>
      </c>
      <c r="K111">
        <v>48.70350086347202</v>
      </c>
      <c r="L111" t="b">
        <v>1</v>
      </c>
      <c r="M111" t="b">
        <v>1</v>
      </c>
    </row>
    <row r="112" spans="1:13">
      <c r="A112" t="s">
        <v>145</v>
      </c>
      <c r="B112" t="s">
        <v>127</v>
      </c>
      <c r="C112">
        <v>30</v>
      </c>
      <c r="D112">
        <v>15</v>
      </c>
      <c r="E112">
        <v>0.0134942476501228</v>
      </c>
      <c r="F112">
        <v>0</v>
      </c>
      <c r="G112">
        <v>0.0024444782129869</v>
      </c>
      <c r="H112">
        <v>0.1936230947293609</v>
      </c>
      <c r="I112">
        <v>15</v>
      </c>
      <c r="J112" t="b">
        <v>1</v>
      </c>
      <c r="K112">
        <v>48.41675278016524</v>
      </c>
      <c r="L112" t="b">
        <v>1</v>
      </c>
      <c r="M112" t="b">
        <v>0</v>
      </c>
    </row>
    <row r="113" spans="1:13">
      <c r="A113" t="s">
        <v>145</v>
      </c>
      <c r="B113" t="s">
        <v>128</v>
      </c>
      <c r="C113">
        <v>30</v>
      </c>
      <c r="D113">
        <v>15</v>
      </c>
      <c r="E113">
        <v>0.008446410839646401</v>
      </c>
      <c r="F113">
        <v>0</v>
      </c>
      <c r="G113">
        <v>0.0024444782129869</v>
      </c>
      <c r="H113">
        <v>0.06401718671485659</v>
      </c>
      <c r="I113">
        <v>0</v>
      </c>
      <c r="J113" t="b">
        <v>1</v>
      </c>
      <c r="K113">
        <v>46.45639747897832</v>
      </c>
      <c r="L113" t="b">
        <v>1</v>
      </c>
      <c r="M113" t="b">
        <v>1</v>
      </c>
    </row>
    <row r="114" spans="1:13">
      <c r="A114" t="s">
        <v>145</v>
      </c>
      <c r="B114" t="s">
        <v>129</v>
      </c>
      <c r="C114">
        <v>30</v>
      </c>
      <c r="D114">
        <v>15</v>
      </c>
      <c r="E114">
        <v>0.0027599662029738</v>
      </c>
      <c r="F114">
        <v>0</v>
      </c>
      <c r="G114">
        <v>0.0024444782129869</v>
      </c>
      <c r="H114">
        <v>0.1142462917799207</v>
      </c>
      <c r="I114">
        <v>15</v>
      </c>
      <c r="J114" t="b">
        <v>1</v>
      </c>
      <c r="K114">
        <v>46.07666141887776</v>
      </c>
      <c r="L114" t="b">
        <v>1</v>
      </c>
      <c r="M114" t="b">
        <v>1</v>
      </c>
    </row>
    <row r="115" spans="1:13">
      <c r="A115" t="s">
        <v>145</v>
      </c>
      <c r="B115" t="s">
        <v>130</v>
      </c>
      <c r="C115">
        <v>30</v>
      </c>
      <c r="D115">
        <v>15</v>
      </c>
      <c r="E115">
        <v>0.0112042439783286</v>
      </c>
      <c r="F115">
        <v>0</v>
      </c>
      <c r="G115">
        <v>0.0024444782129869</v>
      </c>
      <c r="H115">
        <v>0.1613829396208359</v>
      </c>
      <c r="I115">
        <v>0</v>
      </c>
      <c r="J115" t="b">
        <v>1</v>
      </c>
      <c r="K115">
        <v>45.80317052599483</v>
      </c>
      <c r="L115" t="b">
        <v>1</v>
      </c>
      <c r="M115" t="b">
        <v>0</v>
      </c>
    </row>
    <row r="116" spans="1:13">
      <c r="A116" t="s">
        <v>145</v>
      </c>
      <c r="B116" t="s">
        <v>131</v>
      </c>
      <c r="C116">
        <v>30</v>
      </c>
      <c r="D116">
        <v>15</v>
      </c>
      <c r="E116">
        <v>0.0212552097150299</v>
      </c>
      <c r="F116">
        <v>0</v>
      </c>
      <c r="G116">
        <v>0.0024444782129869</v>
      </c>
      <c r="H116">
        <v>0.1987764286124083</v>
      </c>
      <c r="I116">
        <v>15</v>
      </c>
      <c r="J116" t="b">
        <v>1</v>
      </c>
      <c r="K116">
        <v>45.86575434443603</v>
      </c>
      <c r="L116" t="b">
        <v>1</v>
      </c>
      <c r="M116" t="b">
        <v>0</v>
      </c>
    </row>
    <row r="117" spans="1:13">
      <c r="A117" t="s">
        <v>145</v>
      </c>
      <c r="B117" t="s">
        <v>132</v>
      </c>
      <c r="C117">
        <v>30</v>
      </c>
      <c r="D117">
        <v>15</v>
      </c>
      <c r="E117">
        <v>0.0032652154010385</v>
      </c>
      <c r="F117">
        <v>0</v>
      </c>
      <c r="G117">
        <v>0.0024444782129869</v>
      </c>
      <c r="H117">
        <v>0.0695941447885388</v>
      </c>
      <c r="I117">
        <v>15</v>
      </c>
      <c r="J117" t="b">
        <v>1</v>
      </c>
      <c r="K117">
        <v>44.57849355070778</v>
      </c>
      <c r="L117" t="b">
        <v>1</v>
      </c>
      <c r="M117" t="b">
        <v>1</v>
      </c>
    </row>
    <row r="118" spans="1:13">
      <c r="A118" t="s">
        <v>145</v>
      </c>
      <c r="B118" t="s">
        <v>133</v>
      </c>
      <c r="C118">
        <v>30</v>
      </c>
      <c r="D118">
        <v>15</v>
      </c>
      <c r="E118">
        <v>0.0304883966369395</v>
      </c>
      <c r="F118">
        <v>0</v>
      </c>
      <c r="G118">
        <v>0.0024444782129869</v>
      </c>
      <c r="H118">
        <v>0.1210609182205342</v>
      </c>
      <c r="I118">
        <v>15</v>
      </c>
      <c r="J118" t="b">
        <v>1</v>
      </c>
      <c r="K118">
        <v>44.06531504995783</v>
      </c>
      <c r="L118" t="b">
        <v>1</v>
      </c>
      <c r="M118" t="b">
        <v>0</v>
      </c>
    </row>
    <row r="119" spans="1:13">
      <c r="A119" t="s">
        <v>145</v>
      </c>
      <c r="B119" t="s">
        <v>134</v>
      </c>
      <c r="C119">
        <v>30</v>
      </c>
      <c r="D119">
        <v>15</v>
      </c>
      <c r="E119">
        <v>0.0005955502066471</v>
      </c>
      <c r="F119">
        <v>0.0011240043122605</v>
      </c>
      <c r="G119">
        <v>0.0024444782129869</v>
      </c>
      <c r="H119">
        <v>0</v>
      </c>
      <c r="J119" t="b">
        <v>1</v>
      </c>
      <c r="K119">
        <v>32.8319464281563</v>
      </c>
      <c r="L119" t="b">
        <v>1</v>
      </c>
      <c r="M119" t="b">
        <v>1</v>
      </c>
    </row>
    <row r="120" spans="1:13">
      <c r="A120" t="s">
        <v>145</v>
      </c>
      <c r="B120" t="s">
        <v>135</v>
      </c>
      <c r="C120">
        <v>30</v>
      </c>
      <c r="D120">
        <v>15</v>
      </c>
      <c r="E120">
        <v>0.0008160603227076</v>
      </c>
      <c r="F120">
        <v>0.0015015572690582</v>
      </c>
      <c r="G120">
        <v>0.0024444782129869</v>
      </c>
      <c r="H120">
        <v>0</v>
      </c>
      <c r="J120" t="b">
        <v>1</v>
      </c>
      <c r="K120">
        <v>34.82368039325365</v>
      </c>
      <c r="L120" t="b">
        <v>1</v>
      </c>
      <c r="M120" t="b">
        <v>1</v>
      </c>
    </row>
    <row r="121" spans="1:13">
      <c r="A121" t="s">
        <v>145</v>
      </c>
      <c r="B121" t="s">
        <v>136</v>
      </c>
      <c r="C121">
        <v>30</v>
      </c>
      <c r="D121">
        <v>15</v>
      </c>
      <c r="E121">
        <v>0.0002113797494255</v>
      </c>
      <c r="F121">
        <v>0.0004129262028789</v>
      </c>
      <c r="G121">
        <v>0.0024444782129869</v>
      </c>
      <c r="H121">
        <v>0</v>
      </c>
      <c r="J121" t="b">
        <v>1</v>
      </c>
      <c r="K121">
        <v>25.08398988151441</v>
      </c>
      <c r="L121" t="b">
        <v>1</v>
      </c>
      <c r="M121" t="b">
        <v>1</v>
      </c>
    </row>
    <row r="122" spans="1:13">
      <c r="A122" t="s">
        <v>145</v>
      </c>
      <c r="B122" t="s">
        <v>137</v>
      </c>
      <c r="C122">
        <v>30</v>
      </c>
      <c r="D122">
        <v>15</v>
      </c>
      <c r="E122">
        <v>0.0003889837998766</v>
      </c>
      <c r="F122">
        <v>0.0007484525407766</v>
      </c>
      <c r="G122">
        <v>0.0024444782129869</v>
      </c>
      <c r="H122">
        <v>0</v>
      </c>
      <c r="J122" t="b">
        <v>1</v>
      </c>
      <c r="K122">
        <v>28.34935255481881</v>
      </c>
      <c r="L122" t="b">
        <v>1</v>
      </c>
      <c r="M122" t="b">
        <v>1</v>
      </c>
    </row>
    <row r="123" spans="1:13">
      <c r="A123" t="s">
        <v>145</v>
      </c>
      <c r="B123" t="s">
        <v>138</v>
      </c>
      <c r="C123">
        <v>30</v>
      </c>
      <c r="D123">
        <v>15</v>
      </c>
      <c r="E123">
        <v>0.0005955502066471</v>
      </c>
      <c r="F123">
        <v>0.0011240043122605</v>
      </c>
      <c r="G123">
        <v>0.0024444782129869</v>
      </c>
      <c r="H123">
        <v>0</v>
      </c>
      <c r="J123" t="b">
        <v>1</v>
      </c>
      <c r="K123">
        <v>30.78795270951673</v>
      </c>
      <c r="L123" t="b">
        <v>1</v>
      </c>
      <c r="M123" t="b">
        <v>1</v>
      </c>
    </row>
    <row r="124" spans="1:13">
      <c r="A124" t="s">
        <v>145</v>
      </c>
      <c r="B124" t="s">
        <v>139</v>
      </c>
      <c r="C124">
        <v>30</v>
      </c>
      <c r="D124">
        <v>15</v>
      </c>
      <c r="E124">
        <v>0.0008160603227076</v>
      </c>
      <c r="F124">
        <v>0.0015015572690582</v>
      </c>
      <c r="G124">
        <v>0.0024444782129869</v>
      </c>
      <c r="H124">
        <v>0</v>
      </c>
      <c r="J124" t="b">
        <v>1</v>
      </c>
      <c r="K124">
        <v>32.78204240549485</v>
      </c>
      <c r="L124" t="b">
        <v>1</v>
      </c>
      <c r="M124" t="b">
        <v>1</v>
      </c>
    </row>
    <row r="125" spans="1:13">
      <c r="A125" t="s">
        <v>146</v>
      </c>
      <c r="B125" t="s">
        <v>116</v>
      </c>
      <c r="C125">
        <v>30</v>
      </c>
      <c r="D125">
        <v>15</v>
      </c>
      <c r="E125">
        <v>0.0033112266029331</v>
      </c>
      <c r="F125">
        <v>0</v>
      </c>
      <c r="G125">
        <v>0.0033112266029344</v>
      </c>
      <c r="H125">
        <v>0.0438959545677448</v>
      </c>
      <c r="I125">
        <v>0</v>
      </c>
      <c r="J125" t="b">
        <v>1</v>
      </c>
      <c r="K125">
        <v>64.4755031926195</v>
      </c>
      <c r="L125" t="b">
        <v>1</v>
      </c>
      <c r="M125" t="b">
        <v>1</v>
      </c>
    </row>
    <row r="126" spans="1:13">
      <c r="A126" t="s">
        <v>146</v>
      </c>
      <c r="B126" t="s">
        <v>117</v>
      </c>
      <c r="C126">
        <v>30</v>
      </c>
      <c r="D126">
        <v>15</v>
      </c>
      <c r="E126">
        <v>0.0033112266029331</v>
      </c>
      <c r="F126">
        <v>0</v>
      </c>
      <c r="G126">
        <v>0.0033112266029344</v>
      </c>
      <c r="H126">
        <v>0.08291184723159969</v>
      </c>
      <c r="I126">
        <v>15</v>
      </c>
      <c r="J126" t="b">
        <v>1</v>
      </c>
      <c r="K126">
        <v>64.11432606853253</v>
      </c>
      <c r="L126" t="b">
        <v>1</v>
      </c>
      <c r="M126" t="b">
        <v>1</v>
      </c>
    </row>
    <row r="127" spans="1:13">
      <c r="A127" t="s">
        <v>146</v>
      </c>
      <c r="B127" t="s">
        <v>118</v>
      </c>
      <c r="C127">
        <v>30</v>
      </c>
      <c r="D127">
        <v>15</v>
      </c>
      <c r="E127">
        <v>0.0033112266029331</v>
      </c>
      <c r="F127">
        <v>0</v>
      </c>
      <c r="G127">
        <v>0.0033112266029344</v>
      </c>
      <c r="H127">
        <v>0.1255704407344637</v>
      </c>
      <c r="I127">
        <v>15</v>
      </c>
      <c r="J127" t="b">
        <v>1</v>
      </c>
      <c r="K127">
        <v>63.81988607293465</v>
      </c>
      <c r="L127" t="b">
        <v>1</v>
      </c>
      <c r="M127" t="b">
        <v>1</v>
      </c>
    </row>
    <row r="128" spans="1:13">
      <c r="A128" t="s">
        <v>146</v>
      </c>
      <c r="B128" t="s">
        <v>119</v>
      </c>
      <c r="C128">
        <v>30</v>
      </c>
      <c r="D128">
        <v>15</v>
      </c>
      <c r="E128">
        <v>0.0033112266029331</v>
      </c>
      <c r="F128">
        <v>0</v>
      </c>
      <c r="G128">
        <v>0.0033112266029344</v>
      </c>
      <c r="H128">
        <v>0.1679451082207776</v>
      </c>
      <c r="I128">
        <v>15</v>
      </c>
      <c r="J128" t="b">
        <v>1</v>
      </c>
      <c r="K128">
        <v>63.55764794879093</v>
      </c>
      <c r="L128" t="b">
        <v>1</v>
      </c>
      <c r="M128" t="b">
        <v>1</v>
      </c>
    </row>
    <row r="129" spans="1:13">
      <c r="A129" t="s">
        <v>146</v>
      </c>
      <c r="B129" t="s">
        <v>120</v>
      </c>
      <c r="C129">
        <v>30</v>
      </c>
      <c r="D129">
        <v>15</v>
      </c>
      <c r="E129">
        <v>0.0033112266029331</v>
      </c>
      <c r="F129">
        <v>0</v>
      </c>
      <c r="G129">
        <v>0.0033112266029344</v>
      </c>
      <c r="H129">
        <v>0.0603160092224186</v>
      </c>
      <c r="I129">
        <v>15</v>
      </c>
      <c r="J129" t="b">
        <v>1</v>
      </c>
      <c r="K129">
        <v>58.21605526563616</v>
      </c>
      <c r="L129" t="b">
        <v>1</v>
      </c>
      <c r="M129" t="b">
        <v>1</v>
      </c>
    </row>
    <row r="130" spans="1:13">
      <c r="A130" t="s">
        <v>146</v>
      </c>
      <c r="B130" t="s">
        <v>121</v>
      </c>
      <c r="C130">
        <v>30</v>
      </c>
      <c r="D130">
        <v>15</v>
      </c>
      <c r="E130">
        <v>0.0033112266029331</v>
      </c>
      <c r="F130">
        <v>0</v>
      </c>
      <c r="G130">
        <v>0.0033112266029344</v>
      </c>
      <c r="H130">
        <v>0.1132936188247555</v>
      </c>
      <c r="I130">
        <v>15</v>
      </c>
      <c r="J130" t="b">
        <v>1</v>
      </c>
      <c r="K130">
        <v>57.61074250534932</v>
      </c>
      <c r="L130" t="b">
        <v>1</v>
      </c>
      <c r="M130" t="b">
        <v>1</v>
      </c>
    </row>
    <row r="131" spans="1:13">
      <c r="A131" t="s">
        <v>146</v>
      </c>
      <c r="B131" t="s">
        <v>122</v>
      </c>
      <c r="C131">
        <v>30</v>
      </c>
      <c r="D131">
        <v>15</v>
      </c>
      <c r="E131">
        <v>0.0033112266029329</v>
      </c>
      <c r="F131">
        <v>0</v>
      </c>
      <c r="G131">
        <v>0.0033112266029344</v>
      </c>
      <c r="H131">
        <v>0.1707910798293141</v>
      </c>
      <c r="I131">
        <v>0</v>
      </c>
      <c r="J131" t="b">
        <v>1</v>
      </c>
      <c r="K131">
        <v>57.16997436917097</v>
      </c>
      <c r="L131" t="b">
        <v>1</v>
      </c>
      <c r="M131" t="b">
        <v>1</v>
      </c>
    </row>
    <row r="132" spans="1:13">
      <c r="A132" t="s">
        <v>146</v>
      </c>
      <c r="B132" t="s">
        <v>123</v>
      </c>
      <c r="C132">
        <v>30</v>
      </c>
      <c r="D132">
        <v>15</v>
      </c>
      <c r="E132">
        <v>0.0033112266029331</v>
      </c>
      <c r="F132">
        <v>0</v>
      </c>
      <c r="G132">
        <v>0.0033112266029344</v>
      </c>
      <c r="H132">
        <v>0.2314522347282235</v>
      </c>
      <c r="I132">
        <v>0</v>
      </c>
      <c r="J132" t="b">
        <v>1</v>
      </c>
      <c r="K132">
        <v>57.07620256047861</v>
      </c>
      <c r="L132" t="b">
        <v>1</v>
      </c>
      <c r="M132" t="b">
        <v>1</v>
      </c>
    </row>
    <row r="133" spans="1:13">
      <c r="A133" t="s">
        <v>146</v>
      </c>
      <c r="B133" t="s">
        <v>124</v>
      </c>
      <c r="C133">
        <v>30</v>
      </c>
      <c r="D133">
        <v>15</v>
      </c>
      <c r="E133">
        <v>0.0033112266029386</v>
      </c>
      <c r="F133">
        <v>0</v>
      </c>
      <c r="G133">
        <v>0.0033112266029344</v>
      </c>
      <c r="H133">
        <v>0.0709548042024295</v>
      </c>
      <c r="I133">
        <v>0</v>
      </c>
      <c r="J133" t="b">
        <v>1</v>
      </c>
      <c r="K133">
        <v>54.17870627494494</v>
      </c>
      <c r="L133" t="b">
        <v>1</v>
      </c>
      <c r="M133" t="b">
        <v>1</v>
      </c>
    </row>
    <row r="134" spans="1:13">
      <c r="A134" t="s">
        <v>146</v>
      </c>
      <c r="B134" t="s">
        <v>125</v>
      </c>
      <c r="C134">
        <v>30</v>
      </c>
      <c r="D134">
        <v>15</v>
      </c>
      <c r="E134">
        <v>0.0033112266029386</v>
      </c>
      <c r="F134">
        <v>0</v>
      </c>
      <c r="G134">
        <v>0.0033112266029344</v>
      </c>
      <c r="H134">
        <v>0.1328682301305264</v>
      </c>
      <c r="I134">
        <v>0</v>
      </c>
      <c r="J134" t="b">
        <v>1</v>
      </c>
      <c r="K134">
        <v>53.63560305333692</v>
      </c>
      <c r="L134" t="b">
        <v>1</v>
      </c>
      <c r="M134" t="b">
        <v>1</v>
      </c>
    </row>
    <row r="135" spans="1:13">
      <c r="A135" t="s">
        <v>146</v>
      </c>
      <c r="B135" t="s">
        <v>126</v>
      </c>
      <c r="C135">
        <v>30</v>
      </c>
      <c r="D135">
        <v>15</v>
      </c>
      <c r="E135">
        <v>0.0033112266029386</v>
      </c>
      <c r="F135">
        <v>0</v>
      </c>
      <c r="G135">
        <v>0.0033112266029344</v>
      </c>
      <c r="H135">
        <v>0.2000620637648893</v>
      </c>
      <c r="I135">
        <v>0</v>
      </c>
      <c r="J135" t="b">
        <v>1</v>
      </c>
      <c r="K135">
        <v>53.27316840892209</v>
      </c>
      <c r="L135" t="b">
        <v>1</v>
      </c>
      <c r="M135" t="b">
        <v>1</v>
      </c>
    </row>
    <row r="136" spans="1:13">
      <c r="A136" t="s">
        <v>146</v>
      </c>
      <c r="B136" t="s">
        <v>127</v>
      </c>
      <c r="C136">
        <v>30</v>
      </c>
      <c r="D136">
        <v>15</v>
      </c>
      <c r="E136">
        <v>0.0033112266029386</v>
      </c>
      <c r="F136">
        <v>0</v>
      </c>
      <c r="G136">
        <v>0.0033112266029344</v>
      </c>
      <c r="H136">
        <v>0.269519538313645</v>
      </c>
      <c r="I136">
        <v>0</v>
      </c>
      <c r="J136" t="b">
        <v>1</v>
      </c>
      <c r="K136">
        <v>53.18619997969591</v>
      </c>
      <c r="L136" t="b">
        <v>1</v>
      </c>
      <c r="M136" t="b">
        <v>1</v>
      </c>
    </row>
    <row r="137" spans="1:13">
      <c r="A137" t="s">
        <v>146</v>
      </c>
      <c r="B137" t="s">
        <v>128</v>
      </c>
      <c r="C137">
        <v>30</v>
      </c>
      <c r="D137">
        <v>15</v>
      </c>
      <c r="E137">
        <v>0.0026039335462749</v>
      </c>
      <c r="F137">
        <v>0</v>
      </c>
      <c r="G137">
        <v>0.0033112266029344</v>
      </c>
      <c r="H137">
        <v>0.0796926943552236</v>
      </c>
      <c r="I137">
        <v>0</v>
      </c>
      <c r="J137" t="b">
        <v>1</v>
      </c>
      <c r="K137">
        <v>51.39935011621901</v>
      </c>
      <c r="L137" t="b">
        <v>1</v>
      </c>
      <c r="M137" t="b">
        <v>1</v>
      </c>
    </row>
    <row r="138" spans="1:13">
      <c r="A138" t="s">
        <v>146</v>
      </c>
      <c r="B138" t="s">
        <v>129</v>
      </c>
      <c r="C138">
        <v>30</v>
      </c>
      <c r="D138">
        <v>15</v>
      </c>
      <c r="E138">
        <v>0.0026039335462749</v>
      </c>
      <c r="F138">
        <v>0</v>
      </c>
      <c r="G138">
        <v>0.0033112266029344</v>
      </c>
      <c r="H138">
        <v>0.1489554134626445</v>
      </c>
      <c r="I138">
        <v>0</v>
      </c>
      <c r="J138" t="b">
        <v>1</v>
      </c>
      <c r="K138">
        <v>50.9542536414699</v>
      </c>
      <c r="L138" t="b">
        <v>1</v>
      </c>
      <c r="M138" t="b">
        <v>1</v>
      </c>
    </row>
    <row r="139" spans="1:13">
      <c r="A139" t="s">
        <v>146</v>
      </c>
      <c r="B139" t="s">
        <v>130</v>
      </c>
      <c r="C139">
        <v>30</v>
      </c>
      <c r="D139">
        <v>15</v>
      </c>
      <c r="E139">
        <v>0.005218574810655</v>
      </c>
      <c r="F139">
        <v>0</v>
      </c>
      <c r="G139">
        <v>0.0033112266029344</v>
      </c>
      <c r="H139">
        <v>0.2221430795750265</v>
      </c>
      <c r="I139">
        <v>15</v>
      </c>
      <c r="J139" t="b">
        <v>1</v>
      </c>
      <c r="K139">
        <v>50.50759857991878</v>
      </c>
      <c r="L139" t="b">
        <v>1</v>
      </c>
      <c r="M139" t="b">
        <v>1</v>
      </c>
    </row>
    <row r="140" spans="1:13">
      <c r="A140" t="s">
        <v>146</v>
      </c>
      <c r="B140" t="s">
        <v>131</v>
      </c>
      <c r="C140">
        <v>30</v>
      </c>
      <c r="D140">
        <v>15</v>
      </c>
      <c r="E140">
        <v>0.0292022103242574</v>
      </c>
      <c r="F140">
        <v>0</v>
      </c>
      <c r="G140">
        <v>0.0033112266029344</v>
      </c>
      <c r="H140">
        <v>0.296603747177059</v>
      </c>
      <c r="I140">
        <v>15</v>
      </c>
      <c r="J140" t="b">
        <v>1</v>
      </c>
      <c r="K140">
        <v>50.40829201071091</v>
      </c>
      <c r="L140" t="b">
        <v>1</v>
      </c>
      <c r="M140" t="b">
        <v>0</v>
      </c>
    </row>
    <row r="141" spans="1:13">
      <c r="A141" t="s">
        <v>146</v>
      </c>
      <c r="B141" t="s">
        <v>132</v>
      </c>
      <c r="C141">
        <v>30</v>
      </c>
      <c r="D141">
        <v>15</v>
      </c>
      <c r="E141">
        <v>0.0349513919679582</v>
      </c>
      <c r="F141">
        <v>0</v>
      </c>
      <c r="G141">
        <v>0.0033112266029344</v>
      </c>
      <c r="H141">
        <v>0.08714682369065579</v>
      </c>
      <c r="I141">
        <v>0</v>
      </c>
      <c r="J141" t="b">
        <v>1</v>
      </c>
      <c r="K141">
        <v>49.34739192570703</v>
      </c>
      <c r="L141" t="b">
        <v>1</v>
      </c>
      <c r="M141" t="b">
        <v>0</v>
      </c>
    </row>
    <row r="142" spans="1:13">
      <c r="A142" t="s">
        <v>146</v>
      </c>
      <c r="B142" t="s">
        <v>133</v>
      </c>
      <c r="C142">
        <v>30</v>
      </c>
      <c r="D142">
        <v>15</v>
      </c>
      <c r="E142">
        <v>0.0436489982467586</v>
      </c>
      <c r="F142">
        <v>0</v>
      </c>
      <c r="G142">
        <v>0.0033112266029344</v>
      </c>
      <c r="H142">
        <v>0.1614687078564447</v>
      </c>
      <c r="I142">
        <v>0</v>
      </c>
      <c r="J142" t="b">
        <v>1</v>
      </c>
      <c r="K142">
        <v>48.85885442266016</v>
      </c>
      <c r="L142" t="b">
        <v>1</v>
      </c>
      <c r="M142" t="b">
        <v>0</v>
      </c>
    </row>
    <row r="143" spans="1:13">
      <c r="A143" t="s">
        <v>146</v>
      </c>
      <c r="B143" t="s">
        <v>134</v>
      </c>
      <c r="C143">
        <v>30</v>
      </c>
      <c r="D143">
        <v>15</v>
      </c>
      <c r="E143">
        <v>0.0905050432915198</v>
      </c>
      <c r="F143">
        <v>0</v>
      </c>
      <c r="G143">
        <v>0.0033112266029344</v>
      </c>
      <c r="H143">
        <v>0.2371815729342474</v>
      </c>
      <c r="I143">
        <v>15</v>
      </c>
      <c r="J143" t="b">
        <v>1</v>
      </c>
      <c r="K143">
        <v>48.56035532640348</v>
      </c>
      <c r="L143" t="b">
        <v>1</v>
      </c>
      <c r="M143" t="b">
        <v>0</v>
      </c>
    </row>
    <row r="144" spans="1:13">
      <c r="A144" t="s">
        <v>146</v>
      </c>
      <c r="B144" t="s">
        <v>135</v>
      </c>
      <c r="C144">
        <v>30</v>
      </c>
      <c r="D144">
        <v>15</v>
      </c>
      <c r="E144">
        <v>0.0011572081961279</v>
      </c>
      <c r="F144">
        <v>0.0021426548543916</v>
      </c>
      <c r="G144">
        <v>0.0033112266029344</v>
      </c>
      <c r="H144">
        <v>0</v>
      </c>
      <c r="J144" t="b">
        <v>1</v>
      </c>
      <c r="K144">
        <v>34.99563037606279</v>
      </c>
      <c r="L144" t="b">
        <v>1</v>
      </c>
      <c r="M144" t="b">
        <v>1</v>
      </c>
    </row>
    <row r="145" spans="1:13">
      <c r="A145" t="s">
        <v>146</v>
      </c>
      <c r="B145" t="s">
        <v>136</v>
      </c>
      <c r="C145">
        <v>30</v>
      </c>
      <c r="D145">
        <v>15</v>
      </c>
      <c r="E145">
        <v>0.0002642831659776</v>
      </c>
      <c r="F145">
        <v>0.0005163915349119</v>
      </c>
      <c r="G145">
        <v>0.0033112266029344</v>
      </c>
      <c r="H145">
        <v>0</v>
      </c>
      <c r="J145" t="b">
        <v>1</v>
      </c>
      <c r="K145">
        <v>25.36783473572086</v>
      </c>
      <c r="L145" t="b">
        <v>1</v>
      </c>
      <c r="M145" t="b">
        <v>1</v>
      </c>
    </row>
    <row r="146" spans="1:13">
      <c r="A146" t="s">
        <v>146</v>
      </c>
      <c r="B146" t="s">
        <v>137</v>
      </c>
      <c r="C146">
        <v>30</v>
      </c>
      <c r="D146">
        <v>15</v>
      </c>
      <c r="E146">
        <v>0.0005127246540503</v>
      </c>
      <c r="F146">
        <v>0.000987473522158</v>
      </c>
      <c r="G146">
        <v>0.0033112266029344</v>
      </c>
      <c r="H146">
        <v>0</v>
      </c>
      <c r="J146" t="b">
        <v>1</v>
      </c>
      <c r="K146">
        <v>28.61502147581234</v>
      </c>
      <c r="L146" t="b">
        <v>1</v>
      </c>
      <c r="M146" t="b">
        <v>1</v>
      </c>
    </row>
    <row r="147" spans="1:13">
      <c r="A147" t="s">
        <v>146</v>
      </c>
      <c r="B147" t="s">
        <v>138</v>
      </c>
      <c r="C147">
        <v>30</v>
      </c>
      <c r="D147">
        <v>15</v>
      </c>
      <c r="E147">
        <v>0.0008224008647355</v>
      </c>
      <c r="F147">
        <v>0.0015563373899458</v>
      </c>
      <c r="G147">
        <v>0.0033112266029344</v>
      </c>
      <c r="H147">
        <v>0</v>
      </c>
      <c r="J147" t="b">
        <v>1</v>
      </c>
      <c r="K147">
        <v>31.01013861921942</v>
      </c>
      <c r="L147" t="b">
        <v>1</v>
      </c>
      <c r="M147" t="b">
        <v>1</v>
      </c>
    </row>
    <row r="148" spans="1:13">
      <c r="A148" t="s">
        <v>146</v>
      </c>
      <c r="B148" t="s">
        <v>139</v>
      </c>
      <c r="C148">
        <v>30</v>
      </c>
      <c r="D148">
        <v>15</v>
      </c>
      <c r="E148">
        <v>0.0011572081961279</v>
      </c>
      <c r="F148">
        <v>0.0021426548543916</v>
      </c>
      <c r="G148">
        <v>0.0033112266029344</v>
      </c>
      <c r="H148">
        <v>0</v>
      </c>
      <c r="J148" t="b">
        <v>1</v>
      </c>
      <c r="K148">
        <v>32.95800660568808</v>
      </c>
      <c r="L148" t="b">
        <v>1</v>
      </c>
      <c r="M148" t="b">
        <v>1</v>
      </c>
    </row>
    <row r="149" spans="1:13">
      <c r="A149" t="s">
        <v>147</v>
      </c>
      <c r="B149" t="s">
        <v>116</v>
      </c>
      <c r="C149">
        <v>30</v>
      </c>
      <c r="D149">
        <v>15</v>
      </c>
      <c r="E149">
        <v>4.507656922326227E-05</v>
      </c>
      <c r="F149">
        <v>0</v>
      </c>
      <c r="G149">
        <v>4.507656922374006E-05</v>
      </c>
      <c r="H149">
        <v>0.0479432556866186</v>
      </c>
      <c r="I149">
        <v>15</v>
      </c>
      <c r="J149" t="b">
        <v>1</v>
      </c>
      <c r="K149">
        <v>65.56339480117401</v>
      </c>
      <c r="L149" t="b">
        <v>1</v>
      </c>
      <c r="M149" t="b">
        <v>1</v>
      </c>
    </row>
    <row r="150" spans="1:13">
      <c r="A150" t="s">
        <v>147</v>
      </c>
      <c r="B150" t="s">
        <v>117</v>
      </c>
      <c r="C150">
        <v>30</v>
      </c>
      <c r="D150">
        <v>15</v>
      </c>
      <c r="E150">
        <v>4.507656922326227E-05</v>
      </c>
      <c r="F150">
        <v>0</v>
      </c>
      <c r="G150">
        <v>4.507656922374006E-05</v>
      </c>
      <c r="H150">
        <v>0.0915952157192805</v>
      </c>
      <c r="I150">
        <v>0</v>
      </c>
      <c r="J150" t="b">
        <v>1</v>
      </c>
      <c r="K150">
        <v>65.13377667804292</v>
      </c>
      <c r="L150" t="b">
        <v>1</v>
      </c>
      <c r="M150" t="b">
        <v>1</v>
      </c>
    </row>
    <row r="151" spans="1:13">
      <c r="A151" t="s">
        <v>147</v>
      </c>
      <c r="B151" t="s">
        <v>118</v>
      </c>
      <c r="C151">
        <v>30</v>
      </c>
      <c r="D151">
        <v>15</v>
      </c>
      <c r="E151">
        <v>4.507656922326227E-05</v>
      </c>
      <c r="F151">
        <v>0</v>
      </c>
      <c r="G151">
        <v>4.507656922374006E-05</v>
      </c>
      <c r="H151">
        <v>0.1407523863997539</v>
      </c>
      <c r="I151">
        <v>0</v>
      </c>
      <c r="J151" t="b">
        <v>1</v>
      </c>
      <c r="K151">
        <v>64.84481325682623</v>
      </c>
      <c r="L151" t="b">
        <v>1</v>
      </c>
      <c r="M151" t="b">
        <v>1</v>
      </c>
    </row>
    <row r="152" spans="1:13">
      <c r="A152" t="s">
        <v>147</v>
      </c>
      <c r="B152" t="s">
        <v>119</v>
      </c>
      <c r="C152">
        <v>30</v>
      </c>
      <c r="D152">
        <v>15</v>
      </c>
      <c r="E152">
        <v>4.507656922326227E-05</v>
      </c>
      <c r="F152">
        <v>0</v>
      </c>
      <c r="G152">
        <v>4.507656922374006E-05</v>
      </c>
      <c r="H152">
        <v>0.1913070430777566</v>
      </c>
      <c r="I152">
        <v>15</v>
      </c>
      <c r="J152" t="b">
        <v>1</v>
      </c>
      <c r="K152">
        <v>64.51365674117042</v>
      </c>
      <c r="L152" t="b">
        <v>1</v>
      </c>
      <c r="M152" t="b">
        <v>1</v>
      </c>
    </row>
    <row r="153" spans="1:13">
      <c r="A153" t="s">
        <v>147</v>
      </c>
      <c r="B153" t="s">
        <v>120</v>
      </c>
      <c r="C153">
        <v>30</v>
      </c>
      <c r="D153">
        <v>15</v>
      </c>
      <c r="E153">
        <v>4.50765692212318E-05</v>
      </c>
      <c r="F153">
        <v>0</v>
      </c>
      <c r="G153">
        <v>4.507656922374006E-05</v>
      </c>
      <c r="H153">
        <v>0.0647626613585998</v>
      </c>
      <c r="I153">
        <v>0</v>
      </c>
      <c r="J153" t="b">
        <v>1</v>
      </c>
      <c r="K153">
        <v>58.93824812922759</v>
      </c>
      <c r="L153" t="b">
        <v>1</v>
      </c>
      <c r="M153" t="b">
        <v>1</v>
      </c>
    </row>
    <row r="154" spans="1:13">
      <c r="A154" t="s">
        <v>147</v>
      </c>
      <c r="B154" t="s">
        <v>121</v>
      </c>
      <c r="C154">
        <v>30</v>
      </c>
      <c r="D154">
        <v>15</v>
      </c>
      <c r="E154">
        <v>4.50765692212318E-05</v>
      </c>
      <c r="F154">
        <v>0</v>
      </c>
      <c r="G154">
        <v>4.507656922374006E-05</v>
      </c>
      <c r="H154">
        <v>0.1260020032567581</v>
      </c>
      <c r="I154">
        <v>15</v>
      </c>
      <c r="J154" t="b">
        <v>1</v>
      </c>
      <c r="K154">
        <v>58.76526261537833</v>
      </c>
      <c r="L154" t="b">
        <v>1</v>
      </c>
      <c r="M154" t="b">
        <v>1</v>
      </c>
    </row>
    <row r="155" spans="1:13">
      <c r="A155" t="s">
        <v>147</v>
      </c>
      <c r="B155" t="s">
        <v>122</v>
      </c>
      <c r="C155">
        <v>30</v>
      </c>
      <c r="D155">
        <v>15</v>
      </c>
      <c r="E155">
        <v>4.50765692212318E-05</v>
      </c>
      <c r="F155">
        <v>0</v>
      </c>
      <c r="G155">
        <v>4.507656922374006E-05</v>
      </c>
      <c r="H155">
        <v>0.1959802693516508</v>
      </c>
      <c r="I155">
        <v>0</v>
      </c>
      <c r="J155" t="b">
        <v>1</v>
      </c>
      <c r="K155">
        <v>58.57059823459067</v>
      </c>
      <c r="L155" t="b">
        <v>1</v>
      </c>
      <c r="M155" t="b">
        <v>1</v>
      </c>
    </row>
    <row r="156" spans="1:13">
      <c r="A156" t="s">
        <v>147</v>
      </c>
      <c r="B156" t="s">
        <v>123</v>
      </c>
      <c r="C156">
        <v>30</v>
      </c>
      <c r="D156">
        <v>15</v>
      </c>
      <c r="E156">
        <v>4.50765692212318E-05</v>
      </c>
      <c r="F156">
        <v>0</v>
      </c>
      <c r="G156">
        <v>4.507656922374006E-05</v>
      </c>
      <c r="H156">
        <v>0.2669331327726354</v>
      </c>
      <c r="I156">
        <v>0</v>
      </c>
      <c r="J156" t="b">
        <v>1</v>
      </c>
      <c r="K156">
        <v>58.10867588098816</v>
      </c>
      <c r="L156" t="b">
        <v>1</v>
      </c>
      <c r="M156" t="b">
        <v>1</v>
      </c>
    </row>
    <row r="157" spans="1:13">
      <c r="A157" t="s">
        <v>147</v>
      </c>
      <c r="B157" t="s">
        <v>124</v>
      </c>
      <c r="C157">
        <v>30</v>
      </c>
      <c r="D157">
        <v>15</v>
      </c>
      <c r="E157">
        <v>4.50765692212318E-05</v>
      </c>
      <c r="F157">
        <v>0</v>
      </c>
      <c r="G157">
        <v>4.507656922374006E-05</v>
      </c>
      <c r="H157">
        <v>0.0769484474110981</v>
      </c>
      <c r="I157">
        <v>0</v>
      </c>
      <c r="J157" t="b">
        <v>1</v>
      </c>
      <c r="K157">
        <v>55.24111190005101</v>
      </c>
      <c r="L157" t="b">
        <v>1</v>
      </c>
      <c r="M157" t="b">
        <v>1</v>
      </c>
    </row>
    <row r="158" spans="1:13">
      <c r="A158" t="s">
        <v>147</v>
      </c>
      <c r="B158" t="s">
        <v>125</v>
      </c>
      <c r="C158">
        <v>30</v>
      </c>
      <c r="D158">
        <v>15</v>
      </c>
      <c r="E158">
        <v>4.50765692212318E-05</v>
      </c>
      <c r="F158">
        <v>0</v>
      </c>
      <c r="G158">
        <v>4.507656922374006E-05</v>
      </c>
      <c r="H158">
        <v>0.1488183402996128</v>
      </c>
      <c r="I158">
        <v>0</v>
      </c>
      <c r="J158" t="b">
        <v>1</v>
      </c>
      <c r="K158">
        <v>55.00733026269984</v>
      </c>
      <c r="L158" t="b">
        <v>1</v>
      </c>
      <c r="M158" t="b">
        <v>1</v>
      </c>
    </row>
    <row r="159" spans="1:13">
      <c r="A159" t="s">
        <v>147</v>
      </c>
      <c r="B159" t="s">
        <v>126</v>
      </c>
      <c r="C159">
        <v>30</v>
      </c>
      <c r="D159">
        <v>15</v>
      </c>
      <c r="E159">
        <v>4.50765692212318E-05</v>
      </c>
      <c r="F159">
        <v>0</v>
      </c>
      <c r="G159">
        <v>4.507656922374006E-05</v>
      </c>
      <c r="H159">
        <v>0.2295874535504936</v>
      </c>
      <c r="I159">
        <v>0</v>
      </c>
      <c r="J159" t="b">
        <v>1</v>
      </c>
      <c r="K159">
        <v>54.6548764401372</v>
      </c>
      <c r="L159" t="b">
        <v>1</v>
      </c>
      <c r="M159" t="b">
        <v>1</v>
      </c>
    </row>
    <row r="160" spans="1:13">
      <c r="A160" t="s">
        <v>147</v>
      </c>
      <c r="B160" t="s">
        <v>127</v>
      </c>
      <c r="C160">
        <v>30</v>
      </c>
      <c r="D160">
        <v>15</v>
      </c>
      <c r="E160">
        <v>4.50765692212318E-05</v>
      </c>
      <c r="F160">
        <v>0</v>
      </c>
      <c r="G160">
        <v>4.507656922374006E-05</v>
      </c>
      <c r="H160">
        <v>0.3107023552407497</v>
      </c>
      <c r="I160">
        <v>0</v>
      </c>
      <c r="J160" t="b">
        <v>1</v>
      </c>
      <c r="K160">
        <v>54.24498018954438</v>
      </c>
      <c r="L160" t="b">
        <v>1</v>
      </c>
      <c r="M160" t="b">
        <v>1</v>
      </c>
    </row>
    <row r="161" spans="1:13">
      <c r="A161" t="s">
        <v>147</v>
      </c>
      <c r="B161" t="s">
        <v>128</v>
      </c>
      <c r="C161">
        <v>30</v>
      </c>
      <c r="D161">
        <v>15</v>
      </c>
      <c r="E161">
        <v>4.50765692212318E-05</v>
      </c>
      <c r="F161">
        <v>0</v>
      </c>
      <c r="G161">
        <v>4.507656922374006E-05</v>
      </c>
      <c r="H161">
        <v>0.0871125545721156</v>
      </c>
      <c r="I161">
        <v>15</v>
      </c>
      <c r="J161" t="b">
        <v>1</v>
      </c>
      <c r="K161">
        <v>52.73911407321066</v>
      </c>
      <c r="L161" t="b">
        <v>1</v>
      </c>
      <c r="M161" t="b">
        <v>1</v>
      </c>
    </row>
    <row r="162" spans="1:13">
      <c r="A162" t="s">
        <v>147</v>
      </c>
      <c r="B162" t="s">
        <v>129</v>
      </c>
      <c r="C162">
        <v>30</v>
      </c>
      <c r="D162">
        <v>15</v>
      </c>
      <c r="E162">
        <v>4.50765692212318E-05</v>
      </c>
      <c r="F162">
        <v>0</v>
      </c>
      <c r="G162">
        <v>4.507656922374006E-05</v>
      </c>
      <c r="H162">
        <v>0.1654979681173927</v>
      </c>
      <c r="I162">
        <v>15</v>
      </c>
      <c r="J162" t="b">
        <v>1</v>
      </c>
      <c r="K162">
        <v>52.18113773285325</v>
      </c>
      <c r="L162" t="b">
        <v>1</v>
      </c>
      <c r="M162" t="b">
        <v>1</v>
      </c>
    </row>
    <row r="163" spans="1:13">
      <c r="A163" t="s">
        <v>147</v>
      </c>
      <c r="B163" t="s">
        <v>130</v>
      </c>
      <c r="C163">
        <v>30</v>
      </c>
      <c r="D163">
        <v>15</v>
      </c>
      <c r="E163">
        <v>4.50765692212318E-05</v>
      </c>
      <c r="F163">
        <v>0</v>
      </c>
      <c r="G163">
        <v>4.507656922374006E-05</v>
      </c>
      <c r="H163">
        <v>0.2542191540040051</v>
      </c>
      <c r="I163">
        <v>0</v>
      </c>
      <c r="J163" t="b">
        <v>1</v>
      </c>
      <c r="K163">
        <v>51.87685038659566</v>
      </c>
      <c r="L163" t="b">
        <v>1</v>
      </c>
      <c r="M163" t="b">
        <v>1</v>
      </c>
    </row>
    <row r="164" spans="1:13">
      <c r="A164" t="s">
        <v>147</v>
      </c>
      <c r="B164" t="s">
        <v>131</v>
      </c>
      <c r="C164">
        <v>30</v>
      </c>
      <c r="D164">
        <v>15</v>
      </c>
      <c r="E164">
        <v>4.50765692212318E-05</v>
      </c>
      <c r="F164">
        <v>0</v>
      </c>
      <c r="G164">
        <v>4.507656922374006E-05</v>
      </c>
      <c r="H164">
        <v>0.3421077169006139</v>
      </c>
      <c r="I164">
        <v>0</v>
      </c>
      <c r="J164" t="b">
        <v>1</v>
      </c>
      <c r="K164">
        <v>51.48057674609561</v>
      </c>
      <c r="L164" t="b">
        <v>1</v>
      </c>
      <c r="M164" t="b">
        <v>1</v>
      </c>
    </row>
    <row r="165" spans="1:13">
      <c r="A165" t="s">
        <v>147</v>
      </c>
      <c r="B165" t="s">
        <v>132</v>
      </c>
      <c r="C165">
        <v>30</v>
      </c>
      <c r="D165">
        <v>15</v>
      </c>
      <c r="E165">
        <v>4.507656922529293E-05</v>
      </c>
      <c r="F165">
        <v>0</v>
      </c>
      <c r="G165">
        <v>4.507656922374006E-05</v>
      </c>
      <c r="H165">
        <v>0.09396380311181921</v>
      </c>
      <c r="I165">
        <v>15</v>
      </c>
      <c r="J165" t="b">
        <v>1</v>
      </c>
      <c r="K165">
        <v>50.31607756705228</v>
      </c>
      <c r="L165" t="b">
        <v>1</v>
      </c>
      <c r="M165" t="b">
        <v>1</v>
      </c>
    </row>
    <row r="166" spans="1:13">
      <c r="A166" t="s">
        <v>147</v>
      </c>
      <c r="B166" t="s">
        <v>133</v>
      </c>
      <c r="C166">
        <v>30</v>
      </c>
      <c r="D166">
        <v>15</v>
      </c>
      <c r="E166">
        <v>4.507656922529293E-05</v>
      </c>
      <c r="F166">
        <v>0</v>
      </c>
      <c r="G166">
        <v>4.507656922374006E-05</v>
      </c>
      <c r="H166">
        <v>0.1791377651486811</v>
      </c>
      <c r="I166">
        <v>0</v>
      </c>
      <c r="J166" t="b">
        <v>1</v>
      </c>
      <c r="K166">
        <v>50.00872532432368</v>
      </c>
      <c r="L166" t="b">
        <v>1</v>
      </c>
      <c r="M166" t="b">
        <v>1</v>
      </c>
    </row>
    <row r="167" spans="1:13">
      <c r="A167" t="s">
        <v>147</v>
      </c>
      <c r="B167" t="s">
        <v>134</v>
      </c>
      <c r="C167">
        <v>30</v>
      </c>
      <c r="D167">
        <v>15</v>
      </c>
      <c r="E167">
        <v>4.507656922529293E-05</v>
      </c>
      <c r="F167">
        <v>0</v>
      </c>
      <c r="G167">
        <v>4.507656922374006E-05</v>
      </c>
      <c r="H167">
        <v>0.2729454885219695</v>
      </c>
      <c r="I167">
        <v>0</v>
      </c>
      <c r="J167" t="b">
        <v>1</v>
      </c>
      <c r="K167">
        <v>49.63270818736376</v>
      </c>
      <c r="L167" t="b">
        <v>1</v>
      </c>
      <c r="M167" t="b">
        <v>1</v>
      </c>
    </row>
    <row r="168" spans="1:13">
      <c r="A168" t="s">
        <v>147</v>
      </c>
      <c r="B168" t="s">
        <v>135</v>
      </c>
      <c r="C168">
        <v>30</v>
      </c>
      <c r="D168">
        <v>15</v>
      </c>
      <c r="E168">
        <v>4.507656922529293E-05</v>
      </c>
      <c r="F168">
        <v>0</v>
      </c>
      <c r="G168">
        <v>4.507656922374006E-05</v>
      </c>
      <c r="H168">
        <v>0.3700863442030311</v>
      </c>
      <c r="I168">
        <v>0</v>
      </c>
      <c r="J168" t="b">
        <v>1</v>
      </c>
      <c r="K168">
        <v>49.46898611053037</v>
      </c>
      <c r="L168" t="b">
        <v>1</v>
      </c>
      <c r="M168" t="b">
        <v>1</v>
      </c>
    </row>
    <row r="169" spans="1:13">
      <c r="A169" t="s">
        <v>147</v>
      </c>
      <c r="B169" t="s">
        <v>136</v>
      </c>
      <c r="C169">
        <v>30</v>
      </c>
      <c r="D169">
        <v>15</v>
      </c>
      <c r="E169">
        <v>4.507656922529293E-05</v>
      </c>
      <c r="F169">
        <v>0</v>
      </c>
      <c r="G169">
        <v>4.507656922374006E-05</v>
      </c>
      <c r="H169">
        <v>0.1008221471274453</v>
      </c>
      <c r="I169">
        <v>15</v>
      </c>
      <c r="J169" t="b">
        <v>1</v>
      </c>
      <c r="K169">
        <v>48.59800743014233</v>
      </c>
      <c r="L169" t="b">
        <v>1</v>
      </c>
      <c r="M169" t="b">
        <v>1</v>
      </c>
    </row>
    <row r="170" spans="1:13">
      <c r="A170" t="s">
        <v>147</v>
      </c>
      <c r="B170" t="s">
        <v>137</v>
      </c>
      <c r="C170">
        <v>30</v>
      </c>
      <c r="D170">
        <v>15</v>
      </c>
      <c r="E170">
        <v>4.507656922529293E-05</v>
      </c>
      <c r="F170">
        <v>0</v>
      </c>
      <c r="G170">
        <v>4.507656922374006E-05</v>
      </c>
      <c r="H170">
        <v>0.1902994523419465</v>
      </c>
      <c r="I170">
        <v>15</v>
      </c>
      <c r="J170" t="b">
        <v>1</v>
      </c>
      <c r="K170">
        <v>48.13808629953513</v>
      </c>
      <c r="L170" t="b">
        <v>1</v>
      </c>
      <c r="M170" t="b">
        <v>1</v>
      </c>
    </row>
    <row r="171" spans="1:13">
      <c r="A171" t="s">
        <v>147</v>
      </c>
      <c r="B171" t="s">
        <v>138</v>
      </c>
      <c r="C171">
        <v>30</v>
      </c>
      <c r="D171">
        <v>15</v>
      </c>
      <c r="E171">
        <v>4.507656922529293E-05</v>
      </c>
      <c r="F171">
        <v>0</v>
      </c>
      <c r="G171">
        <v>4.507656922374006E-05</v>
      </c>
      <c r="H171">
        <v>0.2885103193302711</v>
      </c>
      <c r="I171">
        <v>0</v>
      </c>
      <c r="J171" t="b">
        <v>1</v>
      </c>
      <c r="K171">
        <v>47.7978787575509</v>
      </c>
      <c r="L171" t="b">
        <v>1</v>
      </c>
      <c r="M171" t="b">
        <v>1</v>
      </c>
    </row>
    <row r="172" spans="1:13">
      <c r="A172" t="s">
        <v>147</v>
      </c>
      <c r="B172" t="s">
        <v>139</v>
      </c>
      <c r="C172">
        <v>30</v>
      </c>
      <c r="D172">
        <v>15</v>
      </c>
      <c r="E172">
        <v>4.507656922529293E-05</v>
      </c>
      <c r="F172">
        <v>0</v>
      </c>
      <c r="G172">
        <v>4.507656922374006E-05</v>
      </c>
      <c r="H172">
        <v>0.3890319941499314</v>
      </c>
      <c r="I172">
        <v>0</v>
      </c>
      <c r="J172" t="b">
        <v>1</v>
      </c>
      <c r="K172">
        <v>47.66209514639925</v>
      </c>
      <c r="L172" t="b">
        <v>1</v>
      </c>
      <c r="M172" t="b">
        <v>1</v>
      </c>
    </row>
    <row r="173" spans="1:13">
      <c r="A173" t="s">
        <v>148</v>
      </c>
      <c r="B173" t="s">
        <v>116</v>
      </c>
      <c r="C173">
        <v>30</v>
      </c>
      <c r="D173">
        <v>15</v>
      </c>
      <c r="E173">
        <v>0.0024401358982314</v>
      </c>
      <c r="F173">
        <v>0</v>
      </c>
      <c r="G173">
        <v>0.0024401358982314</v>
      </c>
      <c r="H173">
        <v>0.0436509141609917</v>
      </c>
      <c r="I173">
        <v>0</v>
      </c>
      <c r="J173" t="b">
        <v>1</v>
      </c>
      <c r="K173">
        <v>62.41640042129575</v>
      </c>
      <c r="L173" t="b">
        <v>1</v>
      </c>
      <c r="M173" t="b">
        <v>1</v>
      </c>
    </row>
    <row r="174" spans="1:13">
      <c r="A174" t="s">
        <v>148</v>
      </c>
      <c r="B174" t="s">
        <v>117</v>
      </c>
      <c r="C174">
        <v>30</v>
      </c>
      <c r="D174">
        <v>15</v>
      </c>
      <c r="E174">
        <v>0.0024401358982314</v>
      </c>
      <c r="F174">
        <v>0</v>
      </c>
      <c r="G174">
        <v>0.0024401358982314</v>
      </c>
      <c r="H174">
        <v>0.08329400207924199</v>
      </c>
      <c r="I174">
        <v>0</v>
      </c>
      <c r="J174" t="b">
        <v>1</v>
      </c>
      <c r="K174">
        <v>62.18135320235945</v>
      </c>
      <c r="L174" t="b">
        <v>1</v>
      </c>
      <c r="M174" t="b">
        <v>1</v>
      </c>
    </row>
    <row r="175" spans="1:13">
      <c r="A175" t="s">
        <v>148</v>
      </c>
      <c r="B175" t="s">
        <v>118</v>
      </c>
      <c r="C175">
        <v>30</v>
      </c>
      <c r="D175">
        <v>15</v>
      </c>
      <c r="E175">
        <v>0.0024401358982316</v>
      </c>
      <c r="F175">
        <v>0</v>
      </c>
      <c r="G175">
        <v>0.0024401358982314</v>
      </c>
      <c r="H175">
        <v>0.1268222171034381</v>
      </c>
      <c r="I175">
        <v>15</v>
      </c>
      <c r="J175" t="b">
        <v>1</v>
      </c>
      <c r="K175">
        <v>61.7874219896791</v>
      </c>
      <c r="L175" t="b">
        <v>1</v>
      </c>
      <c r="M175" t="b">
        <v>1</v>
      </c>
    </row>
    <row r="176" spans="1:13">
      <c r="A176" t="s">
        <v>148</v>
      </c>
      <c r="B176" t="s">
        <v>119</v>
      </c>
      <c r="C176">
        <v>30</v>
      </c>
      <c r="D176">
        <v>15</v>
      </c>
      <c r="E176">
        <v>0.0024401358982314</v>
      </c>
      <c r="F176">
        <v>0</v>
      </c>
      <c r="G176">
        <v>0.0024401358982314</v>
      </c>
      <c r="H176">
        <v>0.1718605675746403</v>
      </c>
      <c r="I176">
        <v>15</v>
      </c>
      <c r="J176" t="b">
        <v>1</v>
      </c>
      <c r="K176">
        <v>61.47454599318891</v>
      </c>
      <c r="L176" t="b">
        <v>1</v>
      </c>
      <c r="M176" t="b">
        <v>1</v>
      </c>
    </row>
    <row r="177" spans="1:13">
      <c r="A177" t="s">
        <v>148</v>
      </c>
      <c r="B177" t="s">
        <v>120</v>
      </c>
      <c r="C177">
        <v>30</v>
      </c>
      <c r="D177">
        <v>15</v>
      </c>
      <c r="E177">
        <v>0.0024401358982314</v>
      </c>
      <c r="F177">
        <v>0</v>
      </c>
      <c r="G177">
        <v>0.0024401358982314</v>
      </c>
      <c r="H177">
        <v>0.0588132211642573</v>
      </c>
      <c r="I177">
        <v>15</v>
      </c>
      <c r="J177" t="b">
        <v>1</v>
      </c>
      <c r="K177">
        <v>55.83120597285642</v>
      </c>
      <c r="L177" t="b">
        <v>1</v>
      </c>
      <c r="M177" t="b">
        <v>1</v>
      </c>
    </row>
    <row r="178" spans="1:13">
      <c r="A178" t="s">
        <v>148</v>
      </c>
      <c r="B178" t="s">
        <v>121</v>
      </c>
      <c r="C178">
        <v>30</v>
      </c>
      <c r="D178">
        <v>15</v>
      </c>
      <c r="E178">
        <v>0.0024401358982314</v>
      </c>
      <c r="F178">
        <v>0</v>
      </c>
      <c r="G178">
        <v>0.0024401358982314</v>
      </c>
      <c r="H178">
        <v>0.1139948600774118</v>
      </c>
      <c r="I178">
        <v>15</v>
      </c>
      <c r="J178" t="b">
        <v>1</v>
      </c>
      <c r="K178">
        <v>55.75742133923427</v>
      </c>
      <c r="L178" t="b">
        <v>1</v>
      </c>
      <c r="M178" t="b">
        <v>1</v>
      </c>
    </row>
    <row r="179" spans="1:13">
      <c r="A179" t="s">
        <v>148</v>
      </c>
      <c r="B179" t="s">
        <v>122</v>
      </c>
      <c r="C179">
        <v>30</v>
      </c>
      <c r="D179">
        <v>15</v>
      </c>
      <c r="E179">
        <v>0.0024401358982314</v>
      </c>
      <c r="F179">
        <v>0</v>
      </c>
      <c r="G179">
        <v>0.0024401358982314</v>
      </c>
      <c r="H179">
        <v>0.1766878641624316</v>
      </c>
      <c r="I179">
        <v>0</v>
      </c>
      <c r="J179" t="b">
        <v>1</v>
      </c>
      <c r="K179">
        <v>55.52631540697419</v>
      </c>
      <c r="L179" t="b">
        <v>1</v>
      </c>
      <c r="M179" t="b">
        <v>1</v>
      </c>
    </row>
    <row r="180" spans="1:13">
      <c r="A180" t="s">
        <v>148</v>
      </c>
      <c r="B180" t="s">
        <v>123</v>
      </c>
      <c r="C180">
        <v>30</v>
      </c>
      <c r="D180">
        <v>15</v>
      </c>
      <c r="E180">
        <v>0.0024401358982314</v>
      </c>
      <c r="F180">
        <v>0</v>
      </c>
      <c r="G180">
        <v>0.0024401358982314</v>
      </c>
      <c r="H180">
        <v>0.2387877814891226</v>
      </c>
      <c r="I180">
        <v>0</v>
      </c>
      <c r="J180" t="b">
        <v>1</v>
      </c>
      <c r="K180">
        <v>55.17209812705701</v>
      </c>
      <c r="L180" t="b">
        <v>1</v>
      </c>
      <c r="M180" t="b">
        <v>1</v>
      </c>
    </row>
    <row r="181" spans="1:13">
      <c r="A181" t="s">
        <v>148</v>
      </c>
      <c r="B181" t="s">
        <v>124</v>
      </c>
      <c r="C181">
        <v>30</v>
      </c>
      <c r="D181">
        <v>15</v>
      </c>
      <c r="E181">
        <v>0.0024401358982314</v>
      </c>
      <c r="F181">
        <v>0</v>
      </c>
      <c r="G181">
        <v>0.0024401358982314</v>
      </c>
      <c r="H181">
        <v>0.07000274725515961</v>
      </c>
      <c r="I181">
        <v>0</v>
      </c>
      <c r="J181" t="b">
        <v>1</v>
      </c>
      <c r="K181">
        <v>52.26036011665514</v>
      </c>
      <c r="L181" t="b">
        <v>1</v>
      </c>
      <c r="M181" t="b">
        <v>1</v>
      </c>
    </row>
    <row r="182" spans="1:13">
      <c r="A182" t="s">
        <v>148</v>
      </c>
      <c r="B182" t="s">
        <v>125</v>
      </c>
      <c r="C182">
        <v>30</v>
      </c>
      <c r="D182">
        <v>15</v>
      </c>
      <c r="E182">
        <v>0.0024401358982314</v>
      </c>
      <c r="F182">
        <v>0</v>
      </c>
      <c r="G182">
        <v>0.0024401358982314</v>
      </c>
      <c r="H182">
        <v>0.1338963868516884</v>
      </c>
      <c r="I182">
        <v>15</v>
      </c>
      <c r="J182" t="b">
        <v>1</v>
      </c>
      <c r="K182">
        <v>51.95522847568981</v>
      </c>
      <c r="L182" t="b">
        <v>1</v>
      </c>
      <c r="M182" t="b">
        <v>1</v>
      </c>
    </row>
    <row r="183" spans="1:13">
      <c r="A183" t="s">
        <v>148</v>
      </c>
      <c r="B183" t="s">
        <v>126</v>
      </c>
      <c r="C183">
        <v>30</v>
      </c>
      <c r="D183">
        <v>15</v>
      </c>
      <c r="E183">
        <v>0.0024401358982314</v>
      </c>
      <c r="F183">
        <v>0</v>
      </c>
      <c r="G183">
        <v>0.0024401358982314</v>
      </c>
      <c r="H183">
        <v>0.2043896730120309</v>
      </c>
      <c r="I183">
        <v>0</v>
      </c>
      <c r="J183" t="b">
        <v>1</v>
      </c>
      <c r="K183">
        <v>51.63239101241217</v>
      </c>
      <c r="L183" t="b">
        <v>1</v>
      </c>
      <c r="M183" t="b">
        <v>1</v>
      </c>
    </row>
    <row r="184" spans="1:13">
      <c r="A184" t="s">
        <v>148</v>
      </c>
      <c r="B184" t="s">
        <v>127</v>
      </c>
      <c r="C184">
        <v>30</v>
      </c>
      <c r="D184">
        <v>15</v>
      </c>
      <c r="E184">
        <v>0.0024401358982314</v>
      </c>
      <c r="F184">
        <v>0</v>
      </c>
      <c r="G184">
        <v>0.0024401358982314</v>
      </c>
      <c r="H184">
        <v>0.2771338104664949</v>
      </c>
      <c r="I184">
        <v>15</v>
      </c>
      <c r="J184" t="b">
        <v>1</v>
      </c>
      <c r="K184">
        <v>51.33201165620136</v>
      </c>
      <c r="L184" t="b">
        <v>1</v>
      </c>
      <c r="M184" t="b">
        <v>1</v>
      </c>
    </row>
    <row r="185" spans="1:13">
      <c r="A185" t="s">
        <v>148</v>
      </c>
      <c r="B185" t="s">
        <v>128</v>
      </c>
      <c r="C185">
        <v>30</v>
      </c>
      <c r="D185">
        <v>15</v>
      </c>
      <c r="E185">
        <v>0.0025980871557358</v>
      </c>
      <c r="F185">
        <v>0</v>
      </c>
      <c r="G185">
        <v>0.0024401358982314</v>
      </c>
      <c r="H185">
        <v>0.0781729504116697</v>
      </c>
      <c r="I185">
        <v>0</v>
      </c>
      <c r="J185" t="b">
        <v>1</v>
      </c>
      <c r="K185">
        <v>49.49475248629938</v>
      </c>
      <c r="L185" t="b">
        <v>1</v>
      </c>
      <c r="M185" t="b">
        <v>1</v>
      </c>
    </row>
    <row r="186" spans="1:13">
      <c r="A186" t="s">
        <v>148</v>
      </c>
      <c r="B186" t="s">
        <v>129</v>
      </c>
      <c r="C186">
        <v>30</v>
      </c>
      <c r="D186">
        <v>15</v>
      </c>
      <c r="E186">
        <v>0.0024774131567227</v>
      </c>
      <c r="F186">
        <v>0</v>
      </c>
      <c r="G186">
        <v>0.0024401358982314</v>
      </c>
      <c r="H186">
        <v>0.148012318714251</v>
      </c>
      <c r="I186">
        <v>15</v>
      </c>
      <c r="J186" t="b">
        <v>1</v>
      </c>
      <c r="K186">
        <v>49.17276764137526</v>
      </c>
      <c r="L186" t="b">
        <v>1</v>
      </c>
      <c r="M186" t="b">
        <v>1</v>
      </c>
    </row>
    <row r="187" spans="1:13">
      <c r="A187" t="s">
        <v>148</v>
      </c>
      <c r="B187" t="s">
        <v>130</v>
      </c>
      <c r="C187">
        <v>30</v>
      </c>
      <c r="D187">
        <v>15</v>
      </c>
      <c r="E187">
        <v>0.003187382065058</v>
      </c>
      <c r="F187">
        <v>0</v>
      </c>
      <c r="G187">
        <v>0.0024401358982314</v>
      </c>
      <c r="H187">
        <v>0.2237052394135332</v>
      </c>
      <c r="I187">
        <v>0</v>
      </c>
      <c r="J187" t="b">
        <v>1</v>
      </c>
      <c r="K187">
        <v>48.78051343315661</v>
      </c>
      <c r="L187" t="b">
        <v>1</v>
      </c>
      <c r="M187" t="b">
        <v>1</v>
      </c>
    </row>
    <row r="188" spans="1:13">
      <c r="A188" t="s">
        <v>148</v>
      </c>
      <c r="B188" t="s">
        <v>131</v>
      </c>
      <c r="C188">
        <v>30</v>
      </c>
      <c r="D188">
        <v>15</v>
      </c>
      <c r="E188">
        <v>0.0037120559913983</v>
      </c>
      <c r="F188">
        <v>0</v>
      </c>
      <c r="G188">
        <v>0.0024401358982314</v>
      </c>
      <c r="H188">
        <v>0.3009899011140362</v>
      </c>
      <c r="I188">
        <v>0</v>
      </c>
      <c r="J188" t="b">
        <v>1</v>
      </c>
      <c r="K188">
        <v>48.55212630229815</v>
      </c>
      <c r="L188" t="b">
        <v>1</v>
      </c>
      <c r="M188" t="b">
        <v>1</v>
      </c>
    </row>
    <row r="189" spans="1:13">
      <c r="A189" t="s">
        <v>148</v>
      </c>
      <c r="B189" t="s">
        <v>132</v>
      </c>
      <c r="C189">
        <v>30</v>
      </c>
      <c r="D189">
        <v>15</v>
      </c>
      <c r="E189">
        <v>0.0028835729826019</v>
      </c>
      <c r="F189">
        <v>0</v>
      </c>
      <c r="G189">
        <v>0.0024401358982314</v>
      </c>
      <c r="H189">
        <v>0.0845723552713195</v>
      </c>
      <c r="I189">
        <v>15</v>
      </c>
      <c r="J189" t="b">
        <v>1</v>
      </c>
      <c r="K189">
        <v>47.2783968719213</v>
      </c>
      <c r="L189" t="b">
        <v>1</v>
      </c>
      <c r="M189" t="b">
        <v>1</v>
      </c>
    </row>
    <row r="190" spans="1:13">
      <c r="A190" t="s">
        <v>148</v>
      </c>
      <c r="B190" t="s">
        <v>133</v>
      </c>
      <c r="C190">
        <v>30</v>
      </c>
      <c r="D190">
        <v>15</v>
      </c>
      <c r="E190">
        <v>0.0028347819011247</v>
      </c>
      <c r="F190">
        <v>0</v>
      </c>
      <c r="G190">
        <v>0.0024401358982314</v>
      </c>
      <c r="H190">
        <v>0.1592560384714545</v>
      </c>
      <c r="I190">
        <v>15</v>
      </c>
      <c r="J190" t="b">
        <v>1</v>
      </c>
      <c r="K190">
        <v>47.00507498200039</v>
      </c>
      <c r="L190" t="b">
        <v>1</v>
      </c>
      <c r="M190" t="b">
        <v>1</v>
      </c>
    </row>
    <row r="191" spans="1:13">
      <c r="A191" t="s">
        <v>148</v>
      </c>
      <c r="B191" t="s">
        <v>134</v>
      </c>
      <c r="C191">
        <v>30</v>
      </c>
      <c r="D191">
        <v>15</v>
      </c>
      <c r="E191">
        <v>0.0027604391284969</v>
      </c>
      <c r="F191">
        <v>0</v>
      </c>
      <c r="G191">
        <v>0.0024401358982314</v>
      </c>
      <c r="H191">
        <v>0.2408712499327521</v>
      </c>
      <c r="I191">
        <v>15</v>
      </c>
      <c r="J191" t="b">
        <v>1</v>
      </c>
      <c r="K191">
        <v>46.70666845752436</v>
      </c>
      <c r="L191" t="b">
        <v>1</v>
      </c>
      <c r="M191" t="b">
        <v>1</v>
      </c>
    </row>
    <row r="192" spans="1:13">
      <c r="A192" t="s">
        <v>148</v>
      </c>
      <c r="B192" t="s">
        <v>135</v>
      </c>
      <c r="C192">
        <v>30</v>
      </c>
      <c r="D192">
        <v>15</v>
      </c>
      <c r="E192">
        <v>0.0161888344330164</v>
      </c>
      <c r="F192">
        <v>0</v>
      </c>
      <c r="G192">
        <v>0.0024401358982314</v>
      </c>
      <c r="H192">
        <v>0.3218924946675372</v>
      </c>
      <c r="I192">
        <v>0</v>
      </c>
      <c r="J192" t="b">
        <v>1</v>
      </c>
      <c r="K192">
        <v>46.48479147420694</v>
      </c>
      <c r="L192" t="b">
        <v>1</v>
      </c>
      <c r="M192" t="b">
        <v>0</v>
      </c>
    </row>
    <row r="193" spans="1:13">
      <c r="A193" t="s">
        <v>148</v>
      </c>
      <c r="B193" t="s">
        <v>136</v>
      </c>
      <c r="C193">
        <v>30</v>
      </c>
      <c r="D193">
        <v>15</v>
      </c>
      <c r="E193">
        <v>0.0024737163532779</v>
      </c>
      <c r="F193">
        <v>0</v>
      </c>
      <c r="G193">
        <v>0.0024401358982314</v>
      </c>
      <c r="H193">
        <v>0.0899013028960098</v>
      </c>
      <c r="I193">
        <v>15</v>
      </c>
      <c r="J193" t="b">
        <v>1</v>
      </c>
      <c r="K193">
        <v>45.46881010627857</v>
      </c>
      <c r="L193" t="b">
        <v>1</v>
      </c>
      <c r="M193" t="b">
        <v>1</v>
      </c>
    </row>
    <row r="194" spans="1:13">
      <c r="A194" t="s">
        <v>148</v>
      </c>
      <c r="B194" t="s">
        <v>137</v>
      </c>
      <c r="C194">
        <v>30</v>
      </c>
      <c r="D194">
        <v>15</v>
      </c>
      <c r="E194">
        <v>0.0024571350492292</v>
      </c>
      <c r="F194">
        <v>0</v>
      </c>
      <c r="G194">
        <v>0.0024401358982314</v>
      </c>
      <c r="H194">
        <v>0.1684018447742801</v>
      </c>
      <c r="I194">
        <v>15</v>
      </c>
      <c r="J194" t="b">
        <v>1</v>
      </c>
      <c r="K194">
        <v>45.17195540702446</v>
      </c>
      <c r="L194" t="b">
        <v>1</v>
      </c>
      <c r="M194" t="b">
        <v>1</v>
      </c>
    </row>
    <row r="195" spans="1:13">
      <c r="A195" t="s">
        <v>148</v>
      </c>
      <c r="B195" t="s">
        <v>138</v>
      </c>
      <c r="C195">
        <v>30</v>
      </c>
      <c r="D195">
        <v>15</v>
      </c>
      <c r="E195">
        <v>0.0061925681033506</v>
      </c>
      <c r="F195">
        <v>0</v>
      </c>
      <c r="G195">
        <v>0.0024401358982314</v>
      </c>
      <c r="H195">
        <v>0.2524517803305741</v>
      </c>
      <c r="I195">
        <v>0</v>
      </c>
      <c r="J195" t="b">
        <v>1</v>
      </c>
      <c r="K195">
        <v>44.88163394050915</v>
      </c>
      <c r="L195" t="b">
        <v>1</v>
      </c>
      <c r="M195" t="b">
        <v>1</v>
      </c>
    </row>
    <row r="196" spans="1:13">
      <c r="A196" t="s">
        <v>148</v>
      </c>
      <c r="B196" t="s">
        <v>139</v>
      </c>
      <c r="C196">
        <v>30</v>
      </c>
      <c r="D196">
        <v>15</v>
      </c>
      <c r="E196">
        <v>0.0065978701755809</v>
      </c>
      <c r="F196">
        <v>0</v>
      </c>
      <c r="G196">
        <v>0.0024401358982314</v>
      </c>
      <c r="H196">
        <v>0.3332165546534327</v>
      </c>
      <c r="I196">
        <v>0</v>
      </c>
      <c r="J196" t="b">
        <v>1</v>
      </c>
      <c r="K196">
        <v>44.6538886680603</v>
      </c>
      <c r="L196" t="b">
        <v>1</v>
      </c>
      <c r="M196" t="b">
        <v>1</v>
      </c>
    </row>
    <row r="197" spans="1:13">
      <c r="A197" t="s">
        <v>149</v>
      </c>
      <c r="B197" t="s">
        <v>116</v>
      </c>
      <c r="C197">
        <v>30</v>
      </c>
      <c r="D197">
        <v>15</v>
      </c>
      <c r="E197">
        <v>0.0031094342297554</v>
      </c>
      <c r="F197">
        <v>0</v>
      </c>
      <c r="G197">
        <v>0.003109434229756</v>
      </c>
      <c r="H197">
        <v>0.0493281800920044</v>
      </c>
      <c r="I197">
        <v>15</v>
      </c>
      <c r="J197" t="b">
        <v>1</v>
      </c>
      <c r="K197">
        <v>67.25309958671062</v>
      </c>
      <c r="L197" t="b">
        <v>1</v>
      </c>
      <c r="M197" t="b">
        <v>1</v>
      </c>
    </row>
    <row r="198" spans="1:13">
      <c r="A198" t="s">
        <v>149</v>
      </c>
      <c r="B198" t="s">
        <v>117</v>
      </c>
      <c r="C198">
        <v>30</v>
      </c>
      <c r="D198">
        <v>15</v>
      </c>
      <c r="E198">
        <v>0.0031094342297554</v>
      </c>
      <c r="F198">
        <v>0</v>
      </c>
      <c r="G198">
        <v>0.003109434229756</v>
      </c>
      <c r="H198">
        <v>0.0955576495274499</v>
      </c>
      <c r="I198">
        <v>0</v>
      </c>
      <c r="J198" t="b">
        <v>1</v>
      </c>
      <c r="K198">
        <v>67.17682660644613</v>
      </c>
      <c r="L198" t="b">
        <v>1</v>
      </c>
      <c r="M198" t="b">
        <v>1</v>
      </c>
    </row>
    <row r="199" spans="1:13">
      <c r="A199" t="s">
        <v>149</v>
      </c>
      <c r="B199" t="s">
        <v>118</v>
      </c>
      <c r="C199">
        <v>30</v>
      </c>
      <c r="D199">
        <v>15</v>
      </c>
      <c r="E199">
        <v>0.0031094342297552</v>
      </c>
      <c r="F199">
        <v>0</v>
      </c>
      <c r="G199">
        <v>0.003109434229756</v>
      </c>
      <c r="H199">
        <v>0.1466442712135176</v>
      </c>
      <c r="I199">
        <v>15</v>
      </c>
      <c r="J199" t="b">
        <v>1</v>
      </c>
      <c r="K199">
        <v>66.68980429508338</v>
      </c>
      <c r="L199" t="b">
        <v>1</v>
      </c>
      <c r="M199" t="b">
        <v>1</v>
      </c>
    </row>
    <row r="200" spans="1:13">
      <c r="A200" t="s">
        <v>149</v>
      </c>
      <c r="B200" t="s">
        <v>119</v>
      </c>
      <c r="C200">
        <v>30</v>
      </c>
      <c r="D200">
        <v>15</v>
      </c>
      <c r="E200">
        <v>0.0031094342297554</v>
      </c>
      <c r="F200">
        <v>0</v>
      </c>
      <c r="G200">
        <v>0.003109434229756</v>
      </c>
      <c r="H200">
        <v>0.1998878086359923</v>
      </c>
      <c r="I200">
        <v>0</v>
      </c>
      <c r="J200" t="b">
        <v>1</v>
      </c>
      <c r="K200">
        <v>66.38509168912634</v>
      </c>
      <c r="L200" t="b">
        <v>1</v>
      </c>
      <c r="M200" t="b">
        <v>1</v>
      </c>
    </row>
    <row r="201" spans="1:13">
      <c r="A201" t="s">
        <v>149</v>
      </c>
      <c r="B201" t="s">
        <v>120</v>
      </c>
      <c r="C201">
        <v>30</v>
      </c>
      <c r="D201">
        <v>15</v>
      </c>
      <c r="E201">
        <v>0.0031094342297567</v>
      </c>
      <c r="F201">
        <v>0</v>
      </c>
      <c r="G201">
        <v>0.003109434229756</v>
      </c>
      <c r="H201">
        <v>0.0677172878710621</v>
      </c>
      <c r="I201">
        <v>15</v>
      </c>
      <c r="J201" t="b">
        <v>1</v>
      </c>
      <c r="K201">
        <v>60.73273031508819</v>
      </c>
      <c r="L201" t="b">
        <v>1</v>
      </c>
      <c r="M201" t="b">
        <v>1</v>
      </c>
    </row>
    <row r="202" spans="1:13">
      <c r="A202" t="s">
        <v>149</v>
      </c>
      <c r="B202" t="s">
        <v>121</v>
      </c>
      <c r="C202">
        <v>30</v>
      </c>
      <c r="D202">
        <v>15</v>
      </c>
      <c r="E202">
        <v>0.0031094342297567</v>
      </c>
      <c r="F202">
        <v>0</v>
      </c>
      <c r="G202">
        <v>0.003109434229756</v>
      </c>
      <c r="H202">
        <v>0.1332376824876178</v>
      </c>
      <c r="I202">
        <v>15</v>
      </c>
      <c r="J202" t="b">
        <v>1</v>
      </c>
      <c r="K202">
        <v>60.85148214063878</v>
      </c>
      <c r="L202" t="b">
        <v>1</v>
      </c>
      <c r="M202" t="b">
        <v>1</v>
      </c>
    </row>
    <row r="203" spans="1:13">
      <c r="A203" t="s">
        <v>149</v>
      </c>
      <c r="B203" t="s">
        <v>122</v>
      </c>
      <c r="C203">
        <v>30</v>
      </c>
      <c r="D203">
        <v>15</v>
      </c>
      <c r="E203">
        <v>0.0031094342297567</v>
      </c>
      <c r="F203">
        <v>0</v>
      </c>
      <c r="G203">
        <v>0.003109434229756</v>
      </c>
      <c r="H203">
        <v>0.205996832992696</v>
      </c>
      <c r="I203">
        <v>0</v>
      </c>
      <c r="J203" t="b">
        <v>1</v>
      </c>
      <c r="K203">
        <v>60.34786430381018</v>
      </c>
      <c r="L203" t="b">
        <v>1</v>
      </c>
      <c r="M203" t="b">
        <v>1</v>
      </c>
    </row>
    <row r="204" spans="1:13">
      <c r="A204" t="s">
        <v>149</v>
      </c>
      <c r="B204" t="s">
        <v>123</v>
      </c>
      <c r="C204">
        <v>30</v>
      </c>
      <c r="D204">
        <v>15</v>
      </c>
      <c r="E204">
        <v>0.0031094342297567</v>
      </c>
      <c r="F204">
        <v>0</v>
      </c>
      <c r="G204">
        <v>0.003109434229756</v>
      </c>
      <c r="H204">
        <v>0.2852503005877906</v>
      </c>
      <c r="I204">
        <v>0</v>
      </c>
      <c r="J204" t="b">
        <v>1</v>
      </c>
      <c r="K204">
        <v>60.13631212947814</v>
      </c>
      <c r="L204" t="b">
        <v>1</v>
      </c>
      <c r="M204" t="b">
        <v>1</v>
      </c>
    </row>
    <row r="205" spans="1:13">
      <c r="A205" t="s">
        <v>149</v>
      </c>
      <c r="B205" t="s">
        <v>124</v>
      </c>
      <c r="C205">
        <v>30</v>
      </c>
      <c r="D205">
        <v>15</v>
      </c>
      <c r="E205">
        <v>0.0031094342297567</v>
      </c>
      <c r="F205">
        <v>0</v>
      </c>
      <c r="G205">
        <v>0.003109434229756</v>
      </c>
      <c r="H205">
        <v>0.0815866081738931</v>
      </c>
      <c r="I205">
        <v>15</v>
      </c>
      <c r="J205" t="b">
        <v>1</v>
      </c>
      <c r="K205">
        <v>57.278931927641</v>
      </c>
      <c r="L205" t="b">
        <v>1</v>
      </c>
      <c r="M205" t="b">
        <v>1</v>
      </c>
    </row>
    <row r="206" spans="1:13">
      <c r="A206" t="s">
        <v>149</v>
      </c>
      <c r="B206" t="s">
        <v>125</v>
      </c>
      <c r="C206">
        <v>30</v>
      </c>
      <c r="D206">
        <v>15</v>
      </c>
      <c r="E206">
        <v>0.0031094342297567</v>
      </c>
      <c r="F206">
        <v>0</v>
      </c>
      <c r="G206">
        <v>0.003109434229756</v>
      </c>
      <c r="H206">
        <v>0.1569498953074344</v>
      </c>
      <c r="I206">
        <v>15</v>
      </c>
      <c r="J206" t="b">
        <v>1</v>
      </c>
      <c r="K206">
        <v>56.77118071316585</v>
      </c>
      <c r="L206" t="b">
        <v>1</v>
      </c>
      <c r="M206" t="b">
        <v>1</v>
      </c>
    </row>
    <row r="207" spans="1:13">
      <c r="A207" t="s">
        <v>149</v>
      </c>
      <c r="B207" t="s">
        <v>126</v>
      </c>
      <c r="C207">
        <v>30</v>
      </c>
      <c r="D207">
        <v>15</v>
      </c>
      <c r="E207">
        <v>0.0031094342297567</v>
      </c>
      <c r="F207">
        <v>0</v>
      </c>
      <c r="G207">
        <v>0.003109434229756</v>
      </c>
      <c r="H207">
        <v>0.244441026601919</v>
      </c>
      <c r="I207">
        <v>15</v>
      </c>
      <c r="J207" t="b">
        <v>1</v>
      </c>
      <c r="K207">
        <v>56.45345694137447</v>
      </c>
      <c r="L207" t="b">
        <v>1</v>
      </c>
      <c r="M207" t="b">
        <v>1</v>
      </c>
    </row>
    <row r="208" spans="1:13">
      <c r="A208" t="s">
        <v>149</v>
      </c>
      <c r="B208" t="s">
        <v>127</v>
      </c>
      <c r="C208">
        <v>30</v>
      </c>
      <c r="D208">
        <v>15</v>
      </c>
      <c r="E208">
        <v>0.0031094342297567</v>
      </c>
      <c r="F208">
        <v>0</v>
      </c>
      <c r="G208">
        <v>0.003109434229756</v>
      </c>
      <c r="H208">
        <v>0.3395024789032845</v>
      </c>
      <c r="I208">
        <v>0</v>
      </c>
      <c r="J208" t="b">
        <v>1</v>
      </c>
      <c r="K208">
        <v>56.32133263265828</v>
      </c>
      <c r="L208" t="b">
        <v>1</v>
      </c>
      <c r="M208" t="b">
        <v>1</v>
      </c>
    </row>
    <row r="209" spans="1:13">
      <c r="A209" t="s">
        <v>149</v>
      </c>
      <c r="B209" t="s">
        <v>128</v>
      </c>
      <c r="C209">
        <v>30</v>
      </c>
      <c r="D209">
        <v>15</v>
      </c>
      <c r="E209">
        <v>0.0031094342297567</v>
      </c>
      <c r="F209">
        <v>0</v>
      </c>
      <c r="G209">
        <v>0.003109434229756</v>
      </c>
      <c r="H209">
        <v>0.0915144496464677</v>
      </c>
      <c r="I209">
        <v>15</v>
      </c>
      <c r="J209" t="b">
        <v>1</v>
      </c>
      <c r="K209">
        <v>54.38338781475807</v>
      </c>
      <c r="L209" t="b">
        <v>1</v>
      </c>
      <c r="M209" t="b">
        <v>1</v>
      </c>
    </row>
    <row r="210" spans="1:13">
      <c r="A210" t="s">
        <v>149</v>
      </c>
      <c r="B210" t="s">
        <v>129</v>
      </c>
      <c r="C210">
        <v>30</v>
      </c>
      <c r="D210">
        <v>15</v>
      </c>
      <c r="E210">
        <v>0.0031094342297567</v>
      </c>
      <c r="F210">
        <v>0</v>
      </c>
      <c r="G210">
        <v>0.003109434229756</v>
      </c>
      <c r="H210">
        <v>0.176709774244955</v>
      </c>
      <c r="I210">
        <v>15</v>
      </c>
      <c r="J210" t="b">
        <v>1</v>
      </c>
      <c r="K210">
        <v>54.0144668684988</v>
      </c>
      <c r="L210" t="b">
        <v>1</v>
      </c>
      <c r="M210" t="b">
        <v>1</v>
      </c>
    </row>
    <row r="211" spans="1:13">
      <c r="A211" t="s">
        <v>149</v>
      </c>
      <c r="B211" t="s">
        <v>130</v>
      </c>
      <c r="C211">
        <v>30</v>
      </c>
      <c r="D211">
        <v>15</v>
      </c>
      <c r="E211">
        <v>0.0031094342297567</v>
      </c>
      <c r="F211">
        <v>0</v>
      </c>
      <c r="G211">
        <v>0.003109434229756</v>
      </c>
      <c r="H211">
        <v>0.2740556133192342</v>
      </c>
      <c r="I211">
        <v>0</v>
      </c>
      <c r="J211" t="b">
        <v>1</v>
      </c>
      <c r="K211">
        <v>53.68022705516822</v>
      </c>
      <c r="L211" t="b">
        <v>1</v>
      </c>
      <c r="M211" t="b">
        <v>1</v>
      </c>
    </row>
    <row r="212" spans="1:13">
      <c r="A212" t="s">
        <v>149</v>
      </c>
      <c r="B212" t="s">
        <v>131</v>
      </c>
      <c r="C212">
        <v>30</v>
      </c>
      <c r="D212">
        <v>15</v>
      </c>
      <c r="E212">
        <v>0.0031094342297567</v>
      </c>
      <c r="F212">
        <v>0</v>
      </c>
      <c r="G212">
        <v>0.003109434229756</v>
      </c>
      <c r="H212">
        <v>0.3801618791195267</v>
      </c>
      <c r="I212">
        <v>15</v>
      </c>
      <c r="J212" t="b">
        <v>1</v>
      </c>
      <c r="K212">
        <v>53.5635630803867</v>
      </c>
      <c r="L212" t="b">
        <v>1</v>
      </c>
      <c r="M212" t="b">
        <v>1</v>
      </c>
    </row>
    <row r="213" spans="1:13">
      <c r="A213" t="s">
        <v>149</v>
      </c>
      <c r="B213" t="s">
        <v>132</v>
      </c>
      <c r="C213">
        <v>30</v>
      </c>
      <c r="D213">
        <v>15</v>
      </c>
      <c r="E213">
        <v>0.0031094342297594</v>
      </c>
      <c r="F213">
        <v>0</v>
      </c>
      <c r="G213">
        <v>0.003109434229756</v>
      </c>
      <c r="H213">
        <v>0.100328555336091</v>
      </c>
      <c r="I213">
        <v>15</v>
      </c>
      <c r="J213" t="b">
        <v>1</v>
      </c>
      <c r="K213">
        <v>52.2504517308505</v>
      </c>
      <c r="L213" t="b">
        <v>1</v>
      </c>
      <c r="M213" t="b">
        <v>1</v>
      </c>
    </row>
    <row r="214" spans="1:13">
      <c r="A214" t="s">
        <v>149</v>
      </c>
      <c r="B214" t="s">
        <v>133</v>
      </c>
      <c r="C214">
        <v>30</v>
      </c>
      <c r="D214">
        <v>15</v>
      </c>
      <c r="E214">
        <v>0.0031094342297594</v>
      </c>
      <c r="F214">
        <v>0</v>
      </c>
      <c r="G214">
        <v>0.003109434229756</v>
      </c>
      <c r="H214">
        <v>0.1954363099300167</v>
      </c>
      <c r="I214">
        <v>15</v>
      </c>
      <c r="J214" t="b">
        <v>1</v>
      </c>
      <c r="K214">
        <v>52.11969289053187</v>
      </c>
      <c r="L214" t="b">
        <v>1</v>
      </c>
      <c r="M214" t="b">
        <v>1</v>
      </c>
    </row>
    <row r="215" spans="1:13">
      <c r="A215" t="s">
        <v>149</v>
      </c>
      <c r="B215" t="s">
        <v>134</v>
      </c>
      <c r="C215">
        <v>30</v>
      </c>
      <c r="D215">
        <v>15</v>
      </c>
      <c r="E215">
        <v>0.0031094342297594</v>
      </c>
      <c r="F215">
        <v>0</v>
      </c>
      <c r="G215">
        <v>0.003109434229756</v>
      </c>
      <c r="H215">
        <v>0.3007592298143038</v>
      </c>
      <c r="I215">
        <v>0</v>
      </c>
      <c r="J215" t="b">
        <v>1</v>
      </c>
      <c r="K215">
        <v>51.69385266850313</v>
      </c>
      <c r="L215" t="b">
        <v>1</v>
      </c>
      <c r="M215" t="b">
        <v>1</v>
      </c>
    </row>
    <row r="216" spans="1:13">
      <c r="A216" t="s">
        <v>149</v>
      </c>
      <c r="B216" t="s">
        <v>135</v>
      </c>
      <c r="C216">
        <v>30</v>
      </c>
      <c r="D216">
        <v>15</v>
      </c>
      <c r="E216">
        <v>0.0031094342297594</v>
      </c>
      <c r="F216">
        <v>0</v>
      </c>
      <c r="G216">
        <v>0.003109434229756</v>
      </c>
      <c r="H216">
        <v>0.4066496992503801</v>
      </c>
      <c r="I216">
        <v>15</v>
      </c>
      <c r="J216" t="b">
        <v>1</v>
      </c>
      <c r="K216">
        <v>51.17415673495174</v>
      </c>
      <c r="L216" t="b">
        <v>1</v>
      </c>
      <c r="M216" t="b">
        <v>1</v>
      </c>
    </row>
    <row r="217" spans="1:13">
      <c r="A217" t="s">
        <v>149</v>
      </c>
      <c r="B217" t="s">
        <v>136</v>
      </c>
      <c r="C217">
        <v>30</v>
      </c>
      <c r="D217">
        <v>15</v>
      </c>
      <c r="E217">
        <v>0.0031094342297594</v>
      </c>
      <c r="F217">
        <v>0</v>
      </c>
      <c r="G217">
        <v>0.003109434229756</v>
      </c>
      <c r="H217">
        <v>0.1080484014252078</v>
      </c>
      <c r="I217">
        <v>15</v>
      </c>
      <c r="J217" t="b">
        <v>1</v>
      </c>
      <c r="K217">
        <v>50.47988770031822</v>
      </c>
      <c r="L217" t="b">
        <v>1</v>
      </c>
      <c r="M217" t="b">
        <v>1</v>
      </c>
    </row>
    <row r="218" spans="1:13">
      <c r="A218" t="s">
        <v>149</v>
      </c>
      <c r="B218" t="s">
        <v>137</v>
      </c>
      <c r="C218">
        <v>30</v>
      </c>
      <c r="D218">
        <v>15</v>
      </c>
      <c r="E218">
        <v>0.0031094342297594</v>
      </c>
      <c r="F218">
        <v>0</v>
      </c>
      <c r="G218">
        <v>0.003109434229756</v>
      </c>
      <c r="H218">
        <v>0.2083464962487653</v>
      </c>
      <c r="I218">
        <v>0</v>
      </c>
      <c r="J218" t="b">
        <v>1</v>
      </c>
      <c r="K218">
        <v>50.20773316771212</v>
      </c>
      <c r="L218" t="b">
        <v>1</v>
      </c>
      <c r="M218" t="b">
        <v>1</v>
      </c>
    </row>
    <row r="219" spans="1:13">
      <c r="A219" t="s">
        <v>149</v>
      </c>
      <c r="B219" t="s">
        <v>138</v>
      </c>
      <c r="C219">
        <v>30</v>
      </c>
      <c r="D219">
        <v>15</v>
      </c>
      <c r="E219">
        <v>0.0031094342297594</v>
      </c>
      <c r="F219">
        <v>0</v>
      </c>
      <c r="G219">
        <v>0.003109434229756</v>
      </c>
      <c r="H219">
        <v>0.3205640690856057</v>
      </c>
      <c r="I219">
        <v>0</v>
      </c>
      <c r="J219" t="b">
        <v>1</v>
      </c>
      <c r="K219">
        <v>49.80055729005102</v>
      </c>
      <c r="L219" t="b">
        <v>1</v>
      </c>
      <c r="M219" t="b">
        <v>1</v>
      </c>
    </row>
    <row r="220" spans="1:13">
      <c r="A220" t="s">
        <v>149</v>
      </c>
      <c r="B220" t="s">
        <v>139</v>
      </c>
      <c r="C220">
        <v>30</v>
      </c>
      <c r="D220">
        <v>15</v>
      </c>
      <c r="E220">
        <v>0.0031094342297594</v>
      </c>
      <c r="F220">
        <v>0</v>
      </c>
      <c r="G220">
        <v>0.003109434229756</v>
      </c>
      <c r="H220">
        <v>0.4377207511786025</v>
      </c>
      <c r="I220">
        <v>0</v>
      </c>
      <c r="J220" t="b">
        <v>1</v>
      </c>
      <c r="K220">
        <v>49.55902632968296</v>
      </c>
      <c r="L220" t="b">
        <v>1</v>
      </c>
      <c r="M220" t="b">
        <v>1</v>
      </c>
    </row>
    <row r="221" spans="1:13">
      <c r="A221" t="s">
        <v>114</v>
      </c>
      <c r="B221" t="s">
        <v>116</v>
      </c>
      <c r="C221">
        <v>15</v>
      </c>
      <c r="D221">
        <v>7.5</v>
      </c>
      <c r="E221">
        <v>0.0002039960924217</v>
      </c>
      <c r="F221">
        <v>0</v>
      </c>
      <c r="G221">
        <v>0.0002039960924122</v>
      </c>
      <c r="H221">
        <v>0.01756042446749</v>
      </c>
      <c r="I221">
        <v>0</v>
      </c>
      <c r="J221" t="b">
        <v>1</v>
      </c>
      <c r="K221">
        <v>29.84562810499369</v>
      </c>
      <c r="L221" t="b">
        <v>1</v>
      </c>
      <c r="M221" t="b">
        <v>1</v>
      </c>
    </row>
    <row r="222" spans="1:13">
      <c r="A222" t="s">
        <v>114</v>
      </c>
      <c r="B222" t="s">
        <v>117</v>
      </c>
      <c r="C222">
        <v>15</v>
      </c>
      <c r="D222">
        <v>7.5</v>
      </c>
      <c r="E222">
        <v>0.0002039960924217</v>
      </c>
      <c r="F222">
        <v>0</v>
      </c>
      <c r="G222">
        <v>0.0002039960924122</v>
      </c>
      <c r="H222">
        <v>0.0311708161512314</v>
      </c>
      <c r="I222">
        <v>7.5</v>
      </c>
      <c r="J222" t="b">
        <v>1</v>
      </c>
      <c r="K222">
        <v>29.54879511736408</v>
      </c>
      <c r="L222" t="b">
        <v>1</v>
      </c>
      <c r="M222" t="b">
        <v>1</v>
      </c>
    </row>
    <row r="223" spans="1:13">
      <c r="A223" t="s">
        <v>114</v>
      </c>
      <c r="B223" t="s">
        <v>118</v>
      </c>
      <c r="C223">
        <v>15</v>
      </c>
      <c r="D223">
        <v>7.5</v>
      </c>
      <c r="E223">
        <v>0.0002039960924217</v>
      </c>
      <c r="F223">
        <v>0</v>
      </c>
      <c r="G223">
        <v>0.0002039960924122</v>
      </c>
      <c r="H223">
        <v>0.0443518170552863</v>
      </c>
      <c r="I223">
        <v>7.5</v>
      </c>
      <c r="J223" t="b">
        <v>1</v>
      </c>
      <c r="K223">
        <v>29.35197442718617</v>
      </c>
      <c r="L223" t="b">
        <v>1</v>
      </c>
      <c r="M223" t="b">
        <v>1</v>
      </c>
    </row>
    <row r="224" spans="1:13">
      <c r="A224" t="s">
        <v>114</v>
      </c>
      <c r="B224" t="s">
        <v>119</v>
      </c>
      <c r="C224">
        <v>15</v>
      </c>
      <c r="D224">
        <v>7.5</v>
      </c>
      <c r="E224">
        <v>0.0002039960924217</v>
      </c>
      <c r="F224">
        <v>0</v>
      </c>
      <c r="G224">
        <v>0.0002039960924122</v>
      </c>
      <c r="H224">
        <v>0.0549642853789684</v>
      </c>
      <c r="I224">
        <v>0</v>
      </c>
      <c r="J224" t="b">
        <v>1</v>
      </c>
      <c r="K224">
        <v>29.18370692132441</v>
      </c>
      <c r="L224" t="b">
        <v>1</v>
      </c>
      <c r="M224" t="b">
        <v>1</v>
      </c>
    </row>
    <row r="225" spans="1:13">
      <c r="A225" t="s">
        <v>114</v>
      </c>
      <c r="B225" t="s">
        <v>120</v>
      </c>
      <c r="C225">
        <v>15</v>
      </c>
      <c r="D225">
        <v>7.5</v>
      </c>
      <c r="E225">
        <v>0.0002063460924798</v>
      </c>
      <c r="F225">
        <v>0</v>
      </c>
      <c r="G225">
        <v>0.0002039960924122</v>
      </c>
      <c r="H225">
        <v>0.0232391934187035</v>
      </c>
      <c r="I225">
        <v>0</v>
      </c>
      <c r="J225" t="b">
        <v>1</v>
      </c>
      <c r="K225">
        <v>26.59613116713473</v>
      </c>
      <c r="L225" t="b">
        <v>1</v>
      </c>
      <c r="M225" t="b">
        <v>1</v>
      </c>
    </row>
    <row r="226" spans="1:13">
      <c r="A226" t="s">
        <v>114</v>
      </c>
      <c r="B226" t="s">
        <v>121</v>
      </c>
      <c r="C226">
        <v>15</v>
      </c>
      <c r="D226">
        <v>7.5</v>
      </c>
      <c r="E226">
        <v>0.0020850980874971</v>
      </c>
      <c r="F226">
        <v>0</v>
      </c>
      <c r="G226">
        <v>0.0002039960924122</v>
      </c>
      <c r="H226">
        <v>0.0403986836718832</v>
      </c>
      <c r="I226">
        <v>7.5</v>
      </c>
      <c r="J226" t="b">
        <v>1</v>
      </c>
      <c r="K226">
        <v>26.28392094504335</v>
      </c>
      <c r="L226" t="b">
        <v>1</v>
      </c>
      <c r="M226" t="b">
        <v>1</v>
      </c>
    </row>
    <row r="227" spans="1:13">
      <c r="A227" t="s">
        <v>114</v>
      </c>
      <c r="B227" t="s">
        <v>122</v>
      </c>
      <c r="C227">
        <v>15</v>
      </c>
      <c r="D227">
        <v>7.5</v>
      </c>
      <c r="E227">
        <v>0.0220361929888619</v>
      </c>
      <c r="F227">
        <v>0</v>
      </c>
      <c r="G227">
        <v>0.0002039960924122</v>
      </c>
      <c r="H227">
        <v>0.0545309731956752</v>
      </c>
      <c r="I227">
        <v>0</v>
      </c>
      <c r="J227" t="b">
        <v>1</v>
      </c>
      <c r="K227">
        <v>26.06665509376853</v>
      </c>
      <c r="L227" t="b">
        <v>1</v>
      </c>
      <c r="M227" t="b">
        <v>0</v>
      </c>
    </row>
    <row r="228" spans="1:13">
      <c r="A228" t="s">
        <v>114</v>
      </c>
      <c r="B228" t="s">
        <v>123</v>
      </c>
      <c r="C228">
        <v>15</v>
      </c>
      <c r="D228">
        <v>7.5</v>
      </c>
      <c r="E228">
        <v>0.0006999037461321</v>
      </c>
      <c r="F228">
        <v>0.001126971291918</v>
      </c>
      <c r="G228">
        <v>0.0002039960924122</v>
      </c>
      <c r="H228">
        <v>0</v>
      </c>
      <c r="J228" t="b">
        <v>1</v>
      </c>
      <c r="K228">
        <v>21.34718731739795</v>
      </c>
      <c r="L228" t="b">
        <v>1</v>
      </c>
      <c r="M228" t="b">
        <v>1</v>
      </c>
    </row>
    <row r="229" spans="1:13">
      <c r="A229" t="s">
        <v>114</v>
      </c>
      <c r="B229" t="s">
        <v>124</v>
      </c>
      <c r="C229">
        <v>15</v>
      </c>
      <c r="D229">
        <v>7.5</v>
      </c>
      <c r="E229">
        <v>0.0001727545266694</v>
      </c>
      <c r="F229">
        <v>0.0003270991421328</v>
      </c>
      <c r="G229">
        <v>0.0002039960924122</v>
      </c>
      <c r="H229">
        <v>0</v>
      </c>
      <c r="J229" t="b">
        <v>1</v>
      </c>
      <c r="K229">
        <v>15.13400447269504</v>
      </c>
      <c r="L229" t="b">
        <v>1</v>
      </c>
      <c r="M229" t="b">
        <v>1</v>
      </c>
    </row>
    <row r="230" spans="1:13">
      <c r="A230" t="s">
        <v>114</v>
      </c>
      <c r="B230" t="s">
        <v>125</v>
      </c>
      <c r="C230">
        <v>15</v>
      </c>
      <c r="D230">
        <v>7.5</v>
      </c>
      <c r="E230">
        <v>0.0003270503806768</v>
      </c>
      <c r="F230">
        <v>0.0005960200711302999</v>
      </c>
      <c r="G230">
        <v>0.0002039960924122</v>
      </c>
      <c r="H230">
        <v>0</v>
      </c>
      <c r="J230" t="b">
        <v>1</v>
      </c>
      <c r="K230">
        <v>16.80095012162113</v>
      </c>
      <c r="L230" t="b">
        <v>1</v>
      </c>
      <c r="M230" t="b">
        <v>1</v>
      </c>
    </row>
    <row r="231" spans="1:13">
      <c r="A231" t="s">
        <v>114</v>
      </c>
      <c r="B231" t="s">
        <v>126</v>
      </c>
      <c r="C231">
        <v>15</v>
      </c>
      <c r="D231">
        <v>7.5</v>
      </c>
      <c r="E231">
        <v>0.0005069032901037</v>
      </c>
      <c r="F231">
        <v>0.0008772897570863</v>
      </c>
      <c r="G231">
        <v>0.0002039960924122</v>
      </c>
      <c r="H231">
        <v>0</v>
      </c>
      <c r="J231" t="b">
        <v>1</v>
      </c>
      <c r="K231">
        <v>18.0446822243745</v>
      </c>
      <c r="L231" t="b">
        <v>1</v>
      </c>
      <c r="M231" t="b">
        <v>1</v>
      </c>
    </row>
    <row r="232" spans="1:13">
      <c r="A232" t="s">
        <v>114</v>
      </c>
      <c r="B232" t="s">
        <v>127</v>
      </c>
      <c r="C232">
        <v>15</v>
      </c>
      <c r="D232">
        <v>7.5</v>
      </c>
      <c r="E232">
        <v>0.0006999037461321</v>
      </c>
      <c r="F232">
        <v>0.001126971291918</v>
      </c>
      <c r="G232">
        <v>0.0002039960924122</v>
      </c>
      <c r="H232">
        <v>0</v>
      </c>
      <c r="J232" t="b">
        <v>1</v>
      </c>
      <c r="K232">
        <v>19.06664722774281</v>
      </c>
      <c r="L232" t="b">
        <v>1</v>
      </c>
      <c r="M232" t="b">
        <v>1</v>
      </c>
    </row>
    <row r="233" spans="1:13">
      <c r="A233" t="s">
        <v>114</v>
      </c>
      <c r="B233" t="s">
        <v>128</v>
      </c>
      <c r="C233">
        <v>15</v>
      </c>
      <c r="D233">
        <v>7.5</v>
      </c>
      <c r="E233">
        <v>0.0001727545266694</v>
      </c>
      <c r="F233">
        <v>0.0003270991421328</v>
      </c>
      <c r="G233">
        <v>0.0002039960924122</v>
      </c>
      <c r="H233">
        <v>0</v>
      </c>
      <c r="J233" t="b">
        <v>1</v>
      </c>
      <c r="K233">
        <v>13.51662168673471</v>
      </c>
      <c r="L233" t="b">
        <v>1</v>
      </c>
      <c r="M233" t="b">
        <v>1</v>
      </c>
    </row>
    <row r="234" spans="1:13">
      <c r="A234" t="s">
        <v>114</v>
      </c>
      <c r="B234" t="s">
        <v>129</v>
      </c>
      <c r="C234">
        <v>15</v>
      </c>
      <c r="D234">
        <v>7.5</v>
      </c>
      <c r="E234">
        <v>0.0003270503806768</v>
      </c>
      <c r="F234">
        <v>0.0005960200711302999</v>
      </c>
      <c r="G234">
        <v>0.0002039960924122</v>
      </c>
      <c r="H234">
        <v>0</v>
      </c>
      <c r="J234" t="b">
        <v>1</v>
      </c>
      <c r="K234">
        <v>15.18374709587391</v>
      </c>
      <c r="L234" t="b">
        <v>1</v>
      </c>
      <c r="M234" t="b">
        <v>1</v>
      </c>
    </row>
    <row r="235" spans="1:13">
      <c r="A235" t="s">
        <v>114</v>
      </c>
      <c r="B235" t="s">
        <v>130</v>
      </c>
      <c r="C235">
        <v>15</v>
      </c>
      <c r="D235">
        <v>7.5</v>
      </c>
      <c r="E235">
        <v>0.0005069032901037</v>
      </c>
      <c r="F235">
        <v>0.0008772897570863</v>
      </c>
      <c r="G235">
        <v>0.0002039960924122</v>
      </c>
      <c r="H235">
        <v>0</v>
      </c>
      <c r="J235" t="b">
        <v>1</v>
      </c>
      <c r="K235">
        <v>16.42734803585384</v>
      </c>
      <c r="L235" t="b">
        <v>1</v>
      </c>
      <c r="M235" t="b">
        <v>1</v>
      </c>
    </row>
    <row r="236" spans="1:13">
      <c r="A236" t="s">
        <v>114</v>
      </c>
      <c r="B236" t="s">
        <v>131</v>
      </c>
      <c r="C236">
        <v>15</v>
      </c>
      <c r="D236">
        <v>7.5</v>
      </c>
      <c r="E236">
        <v>0.0006999037461321</v>
      </c>
      <c r="F236">
        <v>0.001126971291918</v>
      </c>
      <c r="G236">
        <v>0.0002039960924122</v>
      </c>
      <c r="H236">
        <v>0</v>
      </c>
      <c r="J236" t="b">
        <v>1</v>
      </c>
      <c r="K236">
        <v>17.44766246722307</v>
      </c>
      <c r="L236" t="b">
        <v>1</v>
      </c>
      <c r="M236" t="b">
        <v>1</v>
      </c>
    </row>
    <row r="237" spans="1:13">
      <c r="A237" t="s">
        <v>114</v>
      </c>
      <c r="B237" t="s">
        <v>132</v>
      </c>
      <c r="C237">
        <v>15</v>
      </c>
      <c r="D237">
        <v>7.5</v>
      </c>
      <c r="E237">
        <v>0.0001727545266694</v>
      </c>
      <c r="F237">
        <v>0.0003270991421328</v>
      </c>
      <c r="G237">
        <v>0.0002039960924122</v>
      </c>
      <c r="H237">
        <v>0</v>
      </c>
      <c r="J237" t="b">
        <v>1</v>
      </c>
      <c r="K237">
        <v>12.26179079014855</v>
      </c>
      <c r="L237" t="b">
        <v>1</v>
      </c>
      <c r="M237" t="b">
        <v>1</v>
      </c>
    </row>
    <row r="238" spans="1:13">
      <c r="A238" t="s">
        <v>114</v>
      </c>
      <c r="B238" t="s">
        <v>133</v>
      </c>
      <c r="C238">
        <v>15</v>
      </c>
      <c r="D238">
        <v>7.5</v>
      </c>
      <c r="E238">
        <v>0.0003270503806768</v>
      </c>
      <c r="F238">
        <v>0.0005960200711302999</v>
      </c>
      <c r="G238">
        <v>0.0002039960924122</v>
      </c>
      <c r="H238">
        <v>0</v>
      </c>
      <c r="J238" t="b">
        <v>1</v>
      </c>
      <c r="K238">
        <v>13.92930324993529</v>
      </c>
      <c r="L238" t="b">
        <v>1</v>
      </c>
      <c r="M238" t="b">
        <v>1</v>
      </c>
    </row>
    <row r="239" spans="1:13">
      <c r="A239" t="s">
        <v>114</v>
      </c>
      <c r="B239" t="s">
        <v>134</v>
      </c>
      <c r="C239">
        <v>15</v>
      </c>
      <c r="D239">
        <v>7.5</v>
      </c>
      <c r="E239">
        <v>0.0005069032901037</v>
      </c>
      <c r="F239">
        <v>0.0008772897570863</v>
      </c>
      <c r="G239">
        <v>0.0002039960924122</v>
      </c>
      <c r="H239">
        <v>0</v>
      </c>
      <c r="J239" t="b">
        <v>1</v>
      </c>
      <c r="K239">
        <v>15.17421608306293</v>
      </c>
      <c r="L239" t="b">
        <v>1</v>
      </c>
      <c r="M239" t="b">
        <v>1</v>
      </c>
    </row>
    <row r="240" spans="1:13">
      <c r="A240" t="s">
        <v>114</v>
      </c>
      <c r="B240" t="s">
        <v>135</v>
      </c>
      <c r="C240">
        <v>15</v>
      </c>
      <c r="D240">
        <v>7.5</v>
      </c>
      <c r="E240">
        <v>0.0006999037461321</v>
      </c>
      <c r="F240">
        <v>0.001126971291918</v>
      </c>
      <c r="G240">
        <v>0.0002039960924122</v>
      </c>
      <c r="H240">
        <v>0</v>
      </c>
      <c r="J240" t="b">
        <v>1</v>
      </c>
      <c r="K240">
        <v>16.19569595102739</v>
      </c>
      <c r="L240" t="b">
        <v>1</v>
      </c>
      <c r="M240" t="b">
        <v>1</v>
      </c>
    </row>
    <row r="241" spans="1:13">
      <c r="A241" t="s">
        <v>114</v>
      </c>
      <c r="B241" t="s">
        <v>136</v>
      </c>
      <c r="C241">
        <v>15</v>
      </c>
      <c r="D241">
        <v>7.5</v>
      </c>
      <c r="E241">
        <v>0.0001727545266694</v>
      </c>
      <c r="F241">
        <v>0.0003270991421328</v>
      </c>
      <c r="G241">
        <v>0.0002039960924122</v>
      </c>
      <c r="H241">
        <v>0</v>
      </c>
      <c r="J241" t="b">
        <v>1</v>
      </c>
      <c r="K241">
        <v>11.23646607326805</v>
      </c>
      <c r="L241" t="b">
        <v>1</v>
      </c>
      <c r="M241" t="b">
        <v>1</v>
      </c>
    </row>
    <row r="242" spans="1:13">
      <c r="A242" t="s">
        <v>114</v>
      </c>
      <c r="B242" t="s">
        <v>137</v>
      </c>
      <c r="C242">
        <v>15</v>
      </c>
      <c r="D242">
        <v>7.5</v>
      </c>
      <c r="E242">
        <v>0.0003270503806768</v>
      </c>
      <c r="F242">
        <v>0.0005960200711302999</v>
      </c>
      <c r="G242">
        <v>0.0002039960924122</v>
      </c>
      <c r="H242">
        <v>0</v>
      </c>
      <c r="J242" t="b">
        <v>1</v>
      </c>
      <c r="K242">
        <v>12.90340745151113</v>
      </c>
      <c r="L242" t="b">
        <v>1</v>
      </c>
      <c r="M242" t="b">
        <v>1</v>
      </c>
    </row>
    <row r="243" spans="1:13">
      <c r="A243" t="s">
        <v>114</v>
      </c>
      <c r="B243" t="s">
        <v>138</v>
      </c>
      <c r="C243">
        <v>15</v>
      </c>
      <c r="D243">
        <v>7.5</v>
      </c>
      <c r="E243">
        <v>0.0005069032901037</v>
      </c>
      <c r="F243">
        <v>0.0008772897570863</v>
      </c>
      <c r="G243">
        <v>0.0002039960924122</v>
      </c>
      <c r="H243">
        <v>0</v>
      </c>
      <c r="J243" t="b">
        <v>1</v>
      </c>
      <c r="K243">
        <v>14.14970692867037</v>
      </c>
      <c r="L243" t="b">
        <v>1</v>
      </c>
      <c r="M243" t="b">
        <v>1</v>
      </c>
    </row>
    <row r="244" spans="1:13">
      <c r="A244" t="s">
        <v>114</v>
      </c>
      <c r="B244" t="s">
        <v>139</v>
      </c>
      <c r="C244">
        <v>15</v>
      </c>
      <c r="D244">
        <v>7.5</v>
      </c>
      <c r="E244">
        <v>0.0006999037461321</v>
      </c>
      <c r="F244">
        <v>0.001126971291918</v>
      </c>
      <c r="G244">
        <v>0.0002039960924122</v>
      </c>
      <c r="H244">
        <v>0</v>
      </c>
      <c r="J244" t="b">
        <v>1</v>
      </c>
      <c r="K244">
        <v>15.17191255948305</v>
      </c>
      <c r="L244" t="b">
        <v>1</v>
      </c>
      <c r="M244" t="b">
        <v>1</v>
      </c>
    </row>
    <row r="245" spans="1:13">
      <c r="A245" t="s">
        <v>140</v>
      </c>
      <c r="B245" t="s">
        <v>116</v>
      </c>
      <c r="C245">
        <v>15</v>
      </c>
      <c r="D245">
        <v>7.5</v>
      </c>
      <c r="E245">
        <v>0.0135171349706422</v>
      </c>
      <c r="F245">
        <v>0</v>
      </c>
      <c r="G245">
        <v>0.0010864390566288</v>
      </c>
      <c r="H245">
        <v>0.0156046208603868</v>
      </c>
      <c r="I245">
        <v>0</v>
      </c>
      <c r="J245" t="b">
        <v>1</v>
      </c>
      <c r="K245">
        <v>28.3056915471775</v>
      </c>
      <c r="L245" t="b">
        <v>1</v>
      </c>
      <c r="M245" t="b">
        <v>0</v>
      </c>
    </row>
    <row r="246" spans="1:13">
      <c r="A246" t="s">
        <v>140</v>
      </c>
      <c r="B246" t="s">
        <v>117</v>
      </c>
      <c r="C246">
        <v>15</v>
      </c>
      <c r="D246">
        <v>7.5</v>
      </c>
      <c r="E246">
        <v>0.001477680054941</v>
      </c>
      <c r="F246">
        <v>0</v>
      </c>
      <c r="G246">
        <v>0.0010864390566288</v>
      </c>
      <c r="H246">
        <v>0.0273764791892432</v>
      </c>
      <c r="I246">
        <v>0</v>
      </c>
      <c r="J246" t="b">
        <v>1</v>
      </c>
      <c r="K246">
        <v>28.1145377525732</v>
      </c>
      <c r="L246" t="b">
        <v>1</v>
      </c>
      <c r="M246" t="b">
        <v>1</v>
      </c>
    </row>
    <row r="247" spans="1:13">
      <c r="A247" t="s">
        <v>140</v>
      </c>
      <c r="B247" t="s">
        <v>118</v>
      </c>
      <c r="C247">
        <v>15</v>
      </c>
      <c r="D247">
        <v>7.5</v>
      </c>
      <c r="E247">
        <v>0.0016535453287249</v>
      </c>
      <c r="F247">
        <v>0</v>
      </c>
      <c r="G247">
        <v>0.0010864390566288</v>
      </c>
      <c r="H247">
        <v>0.0380585102791002</v>
      </c>
      <c r="I247">
        <v>0</v>
      </c>
      <c r="J247" t="b">
        <v>1</v>
      </c>
      <c r="K247">
        <v>27.89408046705831</v>
      </c>
      <c r="L247" t="b">
        <v>1</v>
      </c>
      <c r="M247" t="b">
        <v>1</v>
      </c>
    </row>
    <row r="248" spans="1:13">
      <c r="A248" t="s">
        <v>140</v>
      </c>
      <c r="B248" t="s">
        <v>119</v>
      </c>
      <c r="C248">
        <v>15</v>
      </c>
      <c r="D248">
        <v>7.5</v>
      </c>
      <c r="E248">
        <v>0.0018114246790975</v>
      </c>
      <c r="F248">
        <v>0</v>
      </c>
      <c r="G248">
        <v>0.0010864390566288</v>
      </c>
      <c r="H248">
        <v>0.0469357118605451</v>
      </c>
      <c r="I248">
        <v>0</v>
      </c>
      <c r="J248" t="b">
        <v>1</v>
      </c>
      <c r="K248">
        <v>27.82841959736331</v>
      </c>
      <c r="L248" t="b">
        <v>1</v>
      </c>
      <c r="M248" t="b">
        <v>1</v>
      </c>
    </row>
    <row r="249" spans="1:13">
      <c r="A249" t="s">
        <v>140</v>
      </c>
      <c r="B249" t="s">
        <v>120</v>
      </c>
      <c r="C249">
        <v>15</v>
      </c>
      <c r="D249">
        <v>7.5</v>
      </c>
      <c r="E249">
        <v>0.0057806369901059</v>
      </c>
      <c r="F249">
        <v>0</v>
      </c>
      <c r="G249">
        <v>0.0010864390566288</v>
      </c>
      <c r="H249">
        <v>0.0199714091300524</v>
      </c>
      <c r="I249">
        <v>0</v>
      </c>
      <c r="J249" t="b">
        <v>1</v>
      </c>
      <c r="K249">
        <v>25.0565331715336</v>
      </c>
      <c r="L249" t="b">
        <v>1</v>
      </c>
      <c r="M249" t="b">
        <v>1</v>
      </c>
    </row>
    <row r="250" spans="1:13">
      <c r="A250" t="s">
        <v>140</v>
      </c>
      <c r="B250" t="s">
        <v>121</v>
      </c>
      <c r="C250">
        <v>15</v>
      </c>
      <c r="D250">
        <v>7.5</v>
      </c>
      <c r="E250">
        <v>0.0015639690636182</v>
      </c>
      <c r="F250">
        <v>0</v>
      </c>
      <c r="G250">
        <v>0.0010864390566288</v>
      </c>
      <c r="H250">
        <v>0.0332994597129161</v>
      </c>
      <c r="I250">
        <v>7.5</v>
      </c>
      <c r="J250" t="b">
        <v>1</v>
      </c>
      <c r="K250">
        <v>24.79478807365609</v>
      </c>
      <c r="L250" t="b">
        <v>1</v>
      </c>
      <c r="M250" t="b">
        <v>1</v>
      </c>
    </row>
    <row r="251" spans="1:13">
      <c r="A251" t="s">
        <v>140</v>
      </c>
      <c r="B251" t="s">
        <v>122</v>
      </c>
      <c r="C251">
        <v>15</v>
      </c>
      <c r="D251">
        <v>7.5</v>
      </c>
      <c r="E251">
        <v>0.0004073194479346</v>
      </c>
      <c r="F251">
        <v>0.0007023935201313</v>
      </c>
      <c r="G251">
        <v>0.0010864390566288</v>
      </c>
      <c r="H251">
        <v>0</v>
      </c>
      <c r="J251" t="b">
        <v>1</v>
      </c>
      <c r="K251">
        <v>20.23278200814289</v>
      </c>
      <c r="L251" t="b">
        <v>1</v>
      </c>
      <c r="M251" t="b">
        <v>1</v>
      </c>
    </row>
    <row r="252" spans="1:13">
      <c r="A252" t="s">
        <v>140</v>
      </c>
      <c r="B252" t="s">
        <v>123</v>
      </c>
      <c r="C252">
        <v>15</v>
      </c>
      <c r="D252">
        <v>7.5</v>
      </c>
      <c r="E252">
        <v>0.0005836798810685999</v>
      </c>
      <c r="F252">
        <v>0.0009323475995058</v>
      </c>
      <c r="G252">
        <v>0.0010864390566288</v>
      </c>
      <c r="H252">
        <v>0</v>
      </c>
      <c r="J252" t="b">
        <v>1</v>
      </c>
      <c r="K252">
        <v>21.27311498528357</v>
      </c>
      <c r="L252" t="b">
        <v>1</v>
      </c>
      <c r="M252" t="b">
        <v>1</v>
      </c>
    </row>
    <row r="253" spans="1:13">
      <c r="A253" t="s">
        <v>140</v>
      </c>
      <c r="B253" t="s">
        <v>124</v>
      </c>
      <c r="C253">
        <v>15</v>
      </c>
      <c r="D253">
        <v>7.5</v>
      </c>
      <c r="E253">
        <v>0.0001465737563459</v>
      </c>
      <c r="F253">
        <v>0.0002774601997563</v>
      </c>
      <c r="G253">
        <v>0.0010864390566288</v>
      </c>
      <c r="H253">
        <v>0</v>
      </c>
      <c r="J253" t="b">
        <v>1</v>
      </c>
      <c r="K253">
        <v>15.02612602858449</v>
      </c>
      <c r="L253" t="b">
        <v>1</v>
      </c>
      <c r="M253" t="b">
        <v>1</v>
      </c>
    </row>
    <row r="254" spans="1:13">
      <c r="A254" t="s">
        <v>140</v>
      </c>
      <c r="B254" t="s">
        <v>125</v>
      </c>
      <c r="C254">
        <v>15</v>
      </c>
      <c r="D254">
        <v>7.5</v>
      </c>
      <c r="E254">
        <v>0.0002677627492909</v>
      </c>
      <c r="F254">
        <v>0.0004874047575146</v>
      </c>
      <c r="G254">
        <v>0.0010864390566288</v>
      </c>
      <c r="H254">
        <v>0</v>
      </c>
      <c r="J254" t="b">
        <v>1</v>
      </c>
      <c r="K254">
        <v>16.69968223518623</v>
      </c>
      <c r="L254" t="b">
        <v>1</v>
      </c>
      <c r="M254" t="b">
        <v>1</v>
      </c>
    </row>
    <row r="255" spans="1:13">
      <c r="A255" t="s">
        <v>140</v>
      </c>
      <c r="B255" t="s">
        <v>126</v>
      </c>
      <c r="C255">
        <v>15</v>
      </c>
      <c r="D255">
        <v>7.5</v>
      </c>
      <c r="E255">
        <v>0.0004073194479346</v>
      </c>
      <c r="F255">
        <v>0.0007023935201313</v>
      </c>
      <c r="G255">
        <v>0.0010864390566288</v>
      </c>
      <c r="H255">
        <v>0</v>
      </c>
      <c r="J255" t="b">
        <v>1</v>
      </c>
      <c r="K255">
        <v>17.95423607500126</v>
      </c>
      <c r="L255" t="b">
        <v>1</v>
      </c>
      <c r="M255" t="b">
        <v>1</v>
      </c>
    </row>
    <row r="256" spans="1:13">
      <c r="A256" t="s">
        <v>140</v>
      </c>
      <c r="B256" t="s">
        <v>127</v>
      </c>
      <c r="C256">
        <v>15</v>
      </c>
      <c r="D256">
        <v>7.5</v>
      </c>
      <c r="E256">
        <v>0.0005836798810685999</v>
      </c>
      <c r="F256">
        <v>0.0009323475995058</v>
      </c>
      <c r="G256">
        <v>0.0010864390566288</v>
      </c>
      <c r="H256">
        <v>0</v>
      </c>
      <c r="J256" t="b">
        <v>1</v>
      </c>
      <c r="K256">
        <v>18.99546199750759</v>
      </c>
      <c r="L256" t="b">
        <v>1</v>
      </c>
      <c r="M256" t="b">
        <v>1</v>
      </c>
    </row>
    <row r="257" spans="1:13">
      <c r="A257" t="s">
        <v>140</v>
      </c>
      <c r="B257" t="s">
        <v>128</v>
      </c>
      <c r="C257">
        <v>15</v>
      </c>
      <c r="D257">
        <v>7.5</v>
      </c>
      <c r="E257">
        <v>0.0001465737563459</v>
      </c>
      <c r="F257">
        <v>0.0002774601997563</v>
      </c>
      <c r="G257">
        <v>0.0010864390566288</v>
      </c>
      <c r="H257">
        <v>0</v>
      </c>
      <c r="J257" t="b">
        <v>1</v>
      </c>
      <c r="K257">
        <v>13.40923205449514</v>
      </c>
      <c r="L257" t="b">
        <v>1</v>
      </c>
      <c r="M257" t="b">
        <v>1</v>
      </c>
    </row>
    <row r="258" spans="1:13">
      <c r="A258" t="s">
        <v>140</v>
      </c>
      <c r="B258" t="s">
        <v>129</v>
      </c>
      <c r="C258">
        <v>15</v>
      </c>
      <c r="D258">
        <v>7.5</v>
      </c>
      <c r="E258">
        <v>0.0002677627492909</v>
      </c>
      <c r="F258">
        <v>0.0004874047575146</v>
      </c>
      <c r="G258">
        <v>0.0010864390566288</v>
      </c>
      <c r="H258">
        <v>0</v>
      </c>
      <c r="J258" t="b">
        <v>1</v>
      </c>
      <c r="K258">
        <v>15.08236048840601</v>
      </c>
      <c r="L258" t="b">
        <v>1</v>
      </c>
      <c r="M258" t="b">
        <v>1</v>
      </c>
    </row>
    <row r="259" spans="1:13">
      <c r="A259" t="s">
        <v>140</v>
      </c>
      <c r="B259" t="s">
        <v>130</v>
      </c>
      <c r="C259">
        <v>15</v>
      </c>
      <c r="D259">
        <v>7.5</v>
      </c>
      <c r="E259">
        <v>0.0004073194479346</v>
      </c>
      <c r="F259">
        <v>0.0007023935201313</v>
      </c>
      <c r="G259">
        <v>0.0010864390566288</v>
      </c>
      <c r="H259">
        <v>0</v>
      </c>
      <c r="J259" t="b">
        <v>1</v>
      </c>
      <c r="K259">
        <v>16.3369390762071</v>
      </c>
      <c r="L259" t="b">
        <v>1</v>
      </c>
      <c r="M259" t="b">
        <v>1</v>
      </c>
    </row>
    <row r="260" spans="1:13">
      <c r="A260" t="s">
        <v>140</v>
      </c>
      <c r="B260" t="s">
        <v>131</v>
      </c>
      <c r="C260">
        <v>15</v>
      </c>
      <c r="D260">
        <v>7.5</v>
      </c>
      <c r="E260">
        <v>0.0005836798810685999</v>
      </c>
      <c r="F260">
        <v>0.0009323475995058</v>
      </c>
      <c r="G260">
        <v>0.0010864390566288</v>
      </c>
      <c r="H260">
        <v>0</v>
      </c>
      <c r="J260" t="b">
        <v>1</v>
      </c>
      <c r="K260">
        <v>17.37845517771426</v>
      </c>
      <c r="L260" t="b">
        <v>1</v>
      </c>
      <c r="M260" t="b">
        <v>1</v>
      </c>
    </row>
    <row r="261" spans="1:13">
      <c r="A261" t="s">
        <v>140</v>
      </c>
      <c r="B261" t="s">
        <v>132</v>
      </c>
      <c r="C261">
        <v>15</v>
      </c>
      <c r="D261">
        <v>7.5</v>
      </c>
      <c r="E261">
        <v>0.0001465737563459</v>
      </c>
      <c r="F261">
        <v>0.0002774601997563</v>
      </c>
      <c r="G261">
        <v>0.0010864390566288</v>
      </c>
      <c r="H261">
        <v>0</v>
      </c>
      <c r="J261" t="b">
        <v>1</v>
      </c>
      <c r="K261">
        <v>12.15348641023297</v>
      </c>
      <c r="L261" t="b">
        <v>1</v>
      </c>
      <c r="M261" t="b">
        <v>1</v>
      </c>
    </row>
    <row r="262" spans="1:13">
      <c r="A262" t="s">
        <v>140</v>
      </c>
      <c r="B262" t="s">
        <v>133</v>
      </c>
      <c r="C262">
        <v>15</v>
      </c>
      <c r="D262">
        <v>7.5</v>
      </c>
      <c r="E262">
        <v>0.0002677627492909</v>
      </c>
      <c r="F262">
        <v>0.0004874047575146</v>
      </c>
      <c r="G262">
        <v>0.0010864390566288</v>
      </c>
      <c r="H262">
        <v>0</v>
      </c>
      <c r="J262" t="b">
        <v>1</v>
      </c>
      <c r="K262">
        <v>13.8277910255681</v>
      </c>
      <c r="L262" t="b">
        <v>1</v>
      </c>
      <c r="M262" t="b">
        <v>1</v>
      </c>
    </row>
    <row r="263" spans="1:13">
      <c r="A263" t="s">
        <v>140</v>
      </c>
      <c r="B263" t="s">
        <v>134</v>
      </c>
      <c r="C263">
        <v>15</v>
      </c>
      <c r="D263">
        <v>7.5</v>
      </c>
      <c r="E263">
        <v>0.0004073194479346</v>
      </c>
      <c r="F263">
        <v>0.0007023935201313</v>
      </c>
      <c r="G263">
        <v>0.0010864390566288</v>
      </c>
      <c r="H263">
        <v>0</v>
      </c>
      <c r="J263" t="b">
        <v>1</v>
      </c>
      <c r="K263">
        <v>15.0820229354828</v>
      </c>
      <c r="L263" t="b">
        <v>1</v>
      </c>
      <c r="M263" t="b">
        <v>1</v>
      </c>
    </row>
    <row r="264" spans="1:13">
      <c r="A264" t="s">
        <v>140</v>
      </c>
      <c r="B264" t="s">
        <v>135</v>
      </c>
      <c r="C264">
        <v>15</v>
      </c>
      <c r="D264">
        <v>7.5</v>
      </c>
      <c r="E264">
        <v>0.0005836798810685999</v>
      </c>
      <c r="F264">
        <v>0.0009323475995058</v>
      </c>
      <c r="G264">
        <v>0.0010864390566288</v>
      </c>
      <c r="H264">
        <v>0</v>
      </c>
      <c r="J264" t="b">
        <v>1</v>
      </c>
      <c r="K264">
        <v>16.12330029945461</v>
      </c>
      <c r="L264" t="b">
        <v>1</v>
      </c>
      <c r="M264" t="b">
        <v>1</v>
      </c>
    </row>
    <row r="265" spans="1:13">
      <c r="A265" t="s">
        <v>140</v>
      </c>
      <c r="B265" t="s">
        <v>136</v>
      </c>
      <c r="C265">
        <v>15</v>
      </c>
      <c r="D265">
        <v>7.5</v>
      </c>
      <c r="E265">
        <v>0.0001465737563459</v>
      </c>
      <c r="F265">
        <v>0.0002774601997563</v>
      </c>
      <c r="G265">
        <v>0.0010864390566288</v>
      </c>
      <c r="H265">
        <v>0</v>
      </c>
      <c r="J265" t="b">
        <v>1</v>
      </c>
      <c r="K265">
        <v>11.12905453056783</v>
      </c>
      <c r="L265" t="b">
        <v>1</v>
      </c>
      <c r="M265" t="b">
        <v>1</v>
      </c>
    </row>
    <row r="266" spans="1:13">
      <c r="A266" t="s">
        <v>140</v>
      </c>
      <c r="B266" t="s">
        <v>137</v>
      </c>
      <c r="C266">
        <v>15</v>
      </c>
      <c r="D266">
        <v>7.5</v>
      </c>
      <c r="E266">
        <v>0.0002677627492909</v>
      </c>
      <c r="F266">
        <v>0.0004874047575146</v>
      </c>
      <c r="G266">
        <v>0.0010864390566288</v>
      </c>
      <c r="H266">
        <v>0</v>
      </c>
      <c r="J266" t="b">
        <v>1</v>
      </c>
      <c r="K266">
        <v>12.8005806394988</v>
      </c>
      <c r="L266" t="b">
        <v>1</v>
      </c>
      <c r="M266" t="b">
        <v>1</v>
      </c>
    </row>
    <row r="267" spans="1:13">
      <c r="A267" t="s">
        <v>140</v>
      </c>
      <c r="B267" t="s">
        <v>138</v>
      </c>
      <c r="C267">
        <v>15</v>
      </c>
      <c r="D267">
        <v>7.5</v>
      </c>
      <c r="E267">
        <v>0.0004073194479346</v>
      </c>
      <c r="F267">
        <v>0.0007023935201313</v>
      </c>
      <c r="G267">
        <v>0.0010864390566288</v>
      </c>
      <c r="H267">
        <v>0</v>
      </c>
      <c r="J267" t="b">
        <v>1</v>
      </c>
      <c r="K267">
        <v>14.05572418305887</v>
      </c>
      <c r="L267" t="b">
        <v>1</v>
      </c>
      <c r="M267" t="b">
        <v>1</v>
      </c>
    </row>
    <row r="268" spans="1:13">
      <c r="A268" t="s">
        <v>140</v>
      </c>
      <c r="B268" t="s">
        <v>139</v>
      </c>
      <c r="C268">
        <v>15</v>
      </c>
      <c r="D268">
        <v>7.5</v>
      </c>
      <c r="E268">
        <v>0.0005836798810685999</v>
      </c>
      <c r="F268">
        <v>0.0009323475995058</v>
      </c>
      <c r="G268">
        <v>0.0010864390566288</v>
      </c>
      <c r="H268">
        <v>0</v>
      </c>
      <c r="J268" t="b">
        <v>1</v>
      </c>
      <c r="K268">
        <v>15.09726187520251</v>
      </c>
      <c r="L268" t="b">
        <v>1</v>
      </c>
      <c r="M268" t="b">
        <v>1</v>
      </c>
    </row>
    <row r="269" spans="1:13">
      <c r="A269" t="s">
        <v>142</v>
      </c>
      <c r="B269" t="s">
        <v>116</v>
      </c>
      <c r="C269">
        <v>15</v>
      </c>
      <c r="D269">
        <v>7.5</v>
      </c>
      <c r="E269">
        <v>0.001892774053296</v>
      </c>
      <c r="F269">
        <v>0</v>
      </c>
      <c r="G269">
        <v>0.0018927740532948</v>
      </c>
      <c r="H269">
        <v>0.0191430613662859</v>
      </c>
      <c r="I269">
        <v>0</v>
      </c>
      <c r="J269" t="b">
        <v>1</v>
      </c>
      <c r="K269">
        <v>30.77249359556617</v>
      </c>
      <c r="L269" t="b">
        <v>1</v>
      </c>
      <c r="M269" t="b">
        <v>1</v>
      </c>
    </row>
    <row r="270" spans="1:13">
      <c r="A270" t="s">
        <v>142</v>
      </c>
      <c r="B270" t="s">
        <v>117</v>
      </c>
      <c r="C270">
        <v>15</v>
      </c>
      <c r="D270">
        <v>7.5</v>
      </c>
      <c r="E270">
        <v>0.001892774053296</v>
      </c>
      <c r="F270">
        <v>0</v>
      </c>
      <c r="G270">
        <v>0.0018927740532948</v>
      </c>
      <c r="H270">
        <v>0.0347838737769095</v>
      </c>
      <c r="I270">
        <v>7.5</v>
      </c>
      <c r="J270" t="b">
        <v>1</v>
      </c>
      <c r="K270">
        <v>30.48276967200679</v>
      </c>
      <c r="L270" t="b">
        <v>1</v>
      </c>
      <c r="M270" t="b">
        <v>1</v>
      </c>
    </row>
    <row r="271" spans="1:13">
      <c r="A271" t="s">
        <v>142</v>
      </c>
      <c r="B271" t="s">
        <v>118</v>
      </c>
      <c r="C271">
        <v>15</v>
      </c>
      <c r="D271">
        <v>7.5</v>
      </c>
      <c r="E271">
        <v>0.001892774053296</v>
      </c>
      <c r="F271">
        <v>0</v>
      </c>
      <c r="G271">
        <v>0.0018927740532948</v>
      </c>
      <c r="H271">
        <v>0.0508016429119209</v>
      </c>
      <c r="I271">
        <v>7.5</v>
      </c>
      <c r="J271" t="b">
        <v>1</v>
      </c>
      <c r="K271">
        <v>30.25823384234627</v>
      </c>
      <c r="L271" t="b">
        <v>1</v>
      </c>
      <c r="M271" t="b">
        <v>1</v>
      </c>
    </row>
    <row r="272" spans="1:13">
      <c r="A272" t="s">
        <v>142</v>
      </c>
      <c r="B272" t="s">
        <v>119</v>
      </c>
      <c r="C272">
        <v>15</v>
      </c>
      <c r="D272">
        <v>7.5</v>
      </c>
      <c r="E272">
        <v>0.001892774053296</v>
      </c>
      <c r="F272">
        <v>0</v>
      </c>
      <c r="G272">
        <v>0.0018927740532948</v>
      </c>
      <c r="H272">
        <v>0.065520648340005</v>
      </c>
      <c r="I272">
        <v>0</v>
      </c>
      <c r="J272" t="b">
        <v>1</v>
      </c>
      <c r="K272">
        <v>30.10040805927972</v>
      </c>
      <c r="L272" t="b">
        <v>1</v>
      </c>
      <c r="M272" t="b">
        <v>1</v>
      </c>
    </row>
    <row r="273" spans="1:13">
      <c r="A273" t="s">
        <v>142</v>
      </c>
      <c r="B273" t="s">
        <v>120</v>
      </c>
      <c r="C273">
        <v>15</v>
      </c>
      <c r="D273">
        <v>7.5</v>
      </c>
      <c r="E273">
        <v>0.01154848118399</v>
      </c>
      <c r="F273">
        <v>0</v>
      </c>
      <c r="G273">
        <v>0.0018927740532948</v>
      </c>
      <c r="H273">
        <v>0.0257912572961522</v>
      </c>
      <c r="I273">
        <v>7.5</v>
      </c>
      <c r="J273" t="b">
        <v>1</v>
      </c>
      <c r="K273">
        <v>27.51957305966215</v>
      </c>
      <c r="L273" t="b">
        <v>1</v>
      </c>
      <c r="M273" t="b">
        <v>0</v>
      </c>
    </row>
    <row r="274" spans="1:13">
      <c r="A274" t="s">
        <v>142</v>
      </c>
      <c r="B274" t="s">
        <v>121</v>
      </c>
      <c r="C274">
        <v>15</v>
      </c>
      <c r="D274">
        <v>7.5</v>
      </c>
      <c r="E274">
        <v>0.0209016840803108</v>
      </c>
      <c r="F274">
        <v>0</v>
      </c>
      <c r="G274">
        <v>0.0018927740532948</v>
      </c>
      <c r="H274">
        <v>0.0463864852434312</v>
      </c>
      <c r="I274">
        <v>7.5</v>
      </c>
      <c r="J274" t="b">
        <v>1</v>
      </c>
      <c r="K274">
        <v>27.19720413600442</v>
      </c>
      <c r="L274" t="b">
        <v>1</v>
      </c>
      <c r="M274" t="b">
        <v>0</v>
      </c>
    </row>
    <row r="275" spans="1:13">
      <c r="A275" t="s">
        <v>142</v>
      </c>
      <c r="B275" t="s">
        <v>122</v>
      </c>
      <c r="C275">
        <v>15</v>
      </c>
      <c r="D275">
        <v>7.5</v>
      </c>
      <c r="E275">
        <v>0.0206883390394694</v>
      </c>
      <c r="F275">
        <v>0</v>
      </c>
      <c r="G275">
        <v>0.0018927740532948</v>
      </c>
      <c r="H275">
        <v>0.066483806804392</v>
      </c>
      <c r="I275">
        <v>0</v>
      </c>
      <c r="J275" t="b">
        <v>1</v>
      </c>
      <c r="K275">
        <v>26.98377026183962</v>
      </c>
      <c r="L275" t="b">
        <v>1</v>
      </c>
      <c r="M275" t="b">
        <v>0</v>
      </c>
    </row>
    <row r="276" spans="1:13">
      <c r="A276" t="s">
        <v>142</v>
      </c>
      <c r="B276" t="s">
        <v>123</v>
      </c>
      <c r="C276">
        <v>15</v>
      </c>
      <c r="D276">
        <v>7.5</v>
      </c>
      <c r="E276">
        <v>0.0008319319440021</v>
      </c>
      <c r="F276">
        <v>0.0013668001375456</v>
      </c>
      <c r="G276">
        <v>0.0018927740532948</v>
      </c>
      <c r="H276">
        <v>0</v>
      </c>
      <c r="J276" t="b">
        <v>1</v>
      </c>
      <c r="K276">
        <v>21.1984829860917</v>
      </c>
      <c r="L276" t="b">
        <v>1</v>
      </c>
      <c r="M276" t="b">
        <v>1</v>
      </c>
    </row>
    <row r="277" spans="1:13">
      <c r="A277" t="s">
        <v>142</v>
      </c>
      <c r="B277" t="s">
        <v>124</v>
      </c>
      <c r="C277">
        <v>15</v>
      </c>
      <c r="D277">
        <v>7.5</v>
      </c>
      <c r="E277">
        <v>0.0001895892099021</v>
      </c>
      <c r="F277">
        <v>0.0003592489761179</v>
      </c>
      <c r="G277">
        <v>0.0018927740532948</v>
      </c>
      <c r="H277">
        <v>0</v>
      </c>
      <c r="J277" t="b">
        <v>1</v>
      </c>
      <c r="K277">
        <v>15.09244320415632</v>
      </c>
      <c r="L277" t="b">
        <v>1</v>
      </c>
      <c r="M277" t="b">
        <v>1</v>
      </c>
    </row>
    <row r="278" spans="1:13">
      <c r="A278" t="s">
        <v>142</v>
      </c>
      <c r="B278" t="s">
        <v>125</v>
      </c>
      <c r="C278">
        <v>15</v>
      </c>
      <c r="D278">
        <v>7.5</v>
      </c>
      <c r="E278">
        <v>0.0003678199146998</v>
      </c>
      <c r="F278">
        <v>0.0006723231728467</v>
      </c>
      <c r="G278">
        <v>0.0018927740532948</v>
      </c>
      <c r="H278">
        <v>0</v>
      </c>
      <c r="J278" t="b">
        <v>1</v>
      </c>
      <c r="K278">
        <v>16.72434895886425</v>
      </c>
      <c r="L278" t="b">
        <v>1</v>
      </c>
      <c r="M278" t="b">
        <v>1</v>
      </c>
    </row>
    <row r="279" spans="1:13">
      <c r="A279" t="s">
        <v>142</v>
      </c>
      <c r="B279" t="s">
        <v>126</v>
      </c>
      <c r="C279">
        <v>15</v>
      </c>
      <c r="D279">
        <v>7.5</v>
      </c>
      <c r="E279">
        <v>0.000583519722247</v>
      </c>
      <c r="F279">
        <v>0.001018457468155</v>
      </c>
      <c r="G279">
        <v>0.0018927740532948</v>
      </c>
      <c r="H279">
        <v>0</v>
      </c>
      <c r="J279" t="b">
        <v>1</v>
      </c>
      <c r="K279">
        <v>17.93277923928187</v>
      </c>
      <c r="L279" t="b">
        <v>1</v>
      </c>
      <c r="M279" t="b">
        <v>1</v>
      </c>
    </row>
    <row r="280" spans="1:13">
      <c r="A280" t="s">
        <v>142</v>
      </c>
      <c r="B280" t="s">
        <v>127</v>
      </c>
      <c r="C280">
        <v>15</v>
      </c>
      <c r="D280">
        <v>7.5</v>
      </c>
      <c r="E280">
        <v>0.0008319319440021</v>
      </c>
      <c r="F280">
        <v>0.0013668001375456</v>
      </c>
      <c r="G280">
        <v>0.0018927740532948</v>
      </c>
      <c r="H280">
        <v>0</v>
      </c>
      <c r="J280" t="b">
        <v>1</v>
      </c>
      <c r="K280">
        <v>18.91965705960956</v>
      </c>
      <c r="L280" t="b">
        <v>1</v>
      </c>
      <c r="M280" t="b">
        <v>1</v>
      </c>
    </row>
    <row r="281" spans="1:13">
      <c r="A281" t="s">
        <v>142</v>
      </c>
      <c r="B281" t="s">
        <v>128</v>
      </c>
      <c r="C281">
        <v>15</v>
      </c>
      <c r="D281">
        <v>7.5</v>
      </c>
      <c r="E281">
        <v>0.0001895892099021</v>
      </c>
      <c r="F281">
        <v>0.0003592489761179</v>
      </c>
      <c r="G281">
        <v>0.0018927740532948</v>
      </c>
      <c r="H281">
        <v>0</v>
      </c>
      <c r="J281" t="b">
        <v>1</v>
      </c>
      <c r="K281">
        <v>13.47510659193603</v>
      </c>
      <c r="L281" t="b">
        <v>1</v>
      </c>
      <c r="M281" t="b">
        <v>1</v>
      </c>
    </row>
    <row r="282" spans="1:13">
      <c r="A282" t="s">
        <v>142</v>
      </c>
      <c r="B282" t="s">
        <v>129</v>
      </c>
      <c r="C282">
        <v>15</v>
      </c>
      <c r="D282">
        <v>7.5</v>
      </c>
      <c r="E282">
        <v>0.0003678199146998</v>
      </c>
      <c r="F282">
        <v>0.0006723231728467</v>
      </c>
      <c r="G282">
        <v>0.0018927740532948</v>
      </c>
      <c r="H282">
        <v>0</v>
      </c>
      <c r="J282" t="b">
        <v>1</v>
      </c>
      <c r="K282">
        <v>15.10603793816046</v>
      </c>
      <c r="L282" t="b">
        <v>1</v>
      </c>
      <c r="M282" t="b">
        <v>1</v>
      </c>
    </row>
    <row r="283" spans="1:13">
      <c r="A283" t="s">
        <v>142</v>
      </c>
      <c r="B283" t="s">
        <v>130</v>
      </c>
      <c r="C283">
        <v>15</v>
      </c>
      <c r="D283">
        <v>7.5</v>
      </c>
      <c r="E283">
        <v>0.000583519722247</v>
      </c>
      <c r="F283">
        <v>0.001018457468155</v>
      </c>
      <c r="G283">
        <v>0.0018927740532948</v>
      </c>
      <c r="H283">
        <v>0</v>
      </c>
      <c r="J283" t="b">
        <v>1</v>
      </c>
      <c r="K283">
        <v>16.31550719326356</v>
      </c>
      <c r="L283" t="b">
        <v>1</v>
      </c>
      <c r="M283" t="b">
        <v>1</v>
      </c>
    </row>
    <row r="284" spans="1:13">
      <c r="A284" t="s">
        <v>142</v>
      </c>
      <c r="B284" t="s">
        <v>131</v>
      </c>
      <c r="C284">
        <v>15</v>
      </c>
      <c r="D284">
        <v>7.5</v>
      </c>
      <c r="E284">
        <v>0.0008319319440021</v>
      </c>
      <c r="F284">
        <v>0.0013668001375456</v>
      </c>
      <c r="G284">
        <v>0.0018927740532948</v>
      </c>
      <c r="H284">
        <v>0</v>
      </c>
      <c r="J284" t="b">
        <v>1</v>
      </c>
      <c r="K284">
        <v>17.30333712752135</v>
      </c>
      <c r="L284" t="b">
        <v>1</v>
      </c>
      <c r="M284" t="b">
        <v>1</v>
      </c>
    </row>
    <row r="285" spans="1:13">
      <c r="A285" t="s">
        <v>142</v>
      </c>
      <c r="B285" t="s">
        <v>132</v>
      </c>
      <c r="C285">
        <v>15</v>
      </c>
      <c r="D285">
        <v>7.5</v>
      </c>
      <c r="E285">
        <v>0.0001895892099021</v>
      </c>
      <c r="F285">
        <v>0.0003592489761179</v>
      </c>
      <c r="G285">
        <v>0.0018927740532948</v>
      </c>
      <c r="H285">
        <v>0</v>
      </c>
      <c r="J285" t="b">
        <v>1</v>
      </c>
      <c r="K285">
        <v>12.22024416642</v>
      </c>
      <c r="L285" t="b">
        <v>1</v>
      </c>
      <c r="M285" t="b">
        <v>1</v>
      </c>
    </row>
    <row r="286" spans="1:13">
      <c r="A286" t="s">
        <v>142</v>
      </c>
      <c r="B286" t="s">
        <v>133</v>
      </c>
      <c r="C286">
        <v>15</v>
      </c>
      <c r="D286">
        <v>7.5</v>
      </c>
      <c r="E286">
        <v>0.0003678199146998</v>
      </c>
      <c r="F286">
        <v>0.0006723231728467</v>
      </c>
      <c r="G286">
        <v>0.0018927740532948</v>
      </c>
      <c r="H286">
        <v>0</v>
      </c>
      <c r="J286" t="b">
        <v>1</v>
      </c>
      <c r="K286">
        <v>13.85159461612275</v>
      </c>
      <c r="L286" t="b">
        <v>1</v>
      </c>
      <c r="M286" t="b">
        <v>1</v>
      </c>
    </row>
    <row r="287" spans="1:13">
      <c r="A287" t="s">
        <v>142</v>
      </c>
      <c r="B287" t="s">
        <v>134</v>
      </c>
      <c r="C287">
        <v>15</v>
      </c>
      <c r="D287">
        <v>7.5</v>
      </c>
      <c r="E287">
        <v>0.000583519722247</v>
      </c>
      <c r="F287">
        <v>0.001018457468155</v>
      </c>
      <c r="G287">
        <v>0.0018927740532948</v>
      </c>
      <c r="H287">
        <v>0</v>
      </c>
      <c r="J287" t="b">
        <v>1</v>
      </c>
      <c r="K287">
        <v>15.05998986403228</v>
      </c>
      <c r="L287" t="b">
        <v>1</v>
      </c>
      <c r="M287" t="b">
        <v>1</v>
      </c>
    </row>
    <row r="288" spans="1:13">
      <c r="A288" t="s">
        <v>142</v>
      </c>
      <c r="B288" t="s">
        <v>135</v>
      </c>
      <c r="C288">
        <v>15</v>
      </c>
      <c r="D288">
        <v>7.5</v>
      </c>
      <c r="E288">
        <v>0.0008319319440021</v>
      </c>
      <c r="F288">
        <v>0.0013668001375456</v>
      </c>
      <c r="G288">
        <v>0.0018927740532948</v>
      </c>
      <c r="H288">
        <v>0</v>
      </c>
      <c r="J288" t="b">
        <v>1</v>
      </c>
      <c r="K288">
        <v>16.04653405008136</v>
      </c>
      <c r="L288" t="b">
        <v>1</v>
      </c>
      <c r="M288" t="b">
        <v>1</v>
      </c>
    </row>
    <row r="289" spans="1:13">
      <c r="A289" t="s">
        <v>142</v>
      </c>
      <c r="B289" t="s">
        <v>136</v>
      </c>
      <c r="C289">
        <v>15</v>
      </c>
      <c r="D289">
        <v>7.5</v>
      </c>
      <c r="E289">
        <v>0.0001895892099021</v>
      </c>
      <c r="F289">
        <v>0.0003592489761179</v>
      </c>
      <c r="G289">
        <v>0.0018927740532948</v>
      </c>
      <c r="H289">
        <v>0</v>
      </c>
      <c r="J289" t="b">
        <v>1</v>
      </c>
      <c r="K289">
        <v>11.19497470179027</v>
      </c>
      <c r="L289" t="b">
        <v>1</v>
      </c>
      <c r="M289" t="b">
        <v>1</v>
      </c>
    </row>
    <row r="290" spans="1:13">
      <c r="A290" t="s">
        <v>142</v>
      </c>
      <c r="B290" t="s">
        <v>137</v>
      </c>
      <c r="C290">
        <v>15</v>
      </c>
      <c r="D290">
        <v>7.5</v>
      </c>
      <c r="E290">
        <v>0.0003678199146998</v>
      </c>
      <c r="F290">
        <v>0.0006723231728467</v>
      </c>
      <c r="G290">
        <v>0.0018927740532948</v>
      </c>
      <c r="H290">
        <v>0</v>
      </c>
      <c r="J290" t="b">
        <v>1</v>
      </c>
      <c r="K290">
        <v>12.82769510164954</v>
      </c>
      <c r="L290" t="b">
        <v>1</v>
      </c>
      <c r="M290" t="b">
        <v>1</v>
      </c>
    </row>
    <row r="291" spans="1:13">
      <c r="A291" t="s">
        <v>142</v>
      </c>
      <c r="B291" t="s">
        <v>138</v>
      </c>
      <c r="C291">
        <v>15</v>
      </c>
      <c r="D291">
        <v>7.5</v>
      </c>
      <c r="E291">
        <v>0.000583519722247</v>
      </c>
      <c r="F291">
        <v>0.001018457468155</v>
      </c>
      <c r="G291">
        <v>0.0018927740532948</v>
      </c>
      <c r="H291">
        <v>0</v>
      </c>
      <c r="J291" t="b">
        <v>1</v>
      </c>
      <c r="K291">
        <v>14.03677931408289</v>
      </c>
      <c r="L291" t="b">
        <v>1</v>
      </c>
      <c r="M291" t="b">
        <v>1</v>
      </c>
    </row>
    <row r="292" spans="1:13">
      <c r="A292" t="s">
        <v>142</v>
      </c>
      <c r="B292" t="s">
        <v>139</v>
      </c>
      <c r="C292">
        <v>15</v>
      </c>
      <c r="D292">
        <v>7.5</v>
      </c>
      <c r="E292">
        <v>0.0008319319440021</v>
      </c>
      <c r="F292">
        <v>0.0013668001375456</v>
      </c>
      <c r="G292">
        <v>0.0018927740532948</v>
      </c>
      <c r="H292">
        <v>0</v>
      </c>
      <c r="J292" t="b">
        <v>1</v>
      </c>
      <c r="K292">
        <v>15.02285268498831</v>
      </c>
      <c r="L292" t="b">
        <v>1</v>
      </c>
      <c r="M292" t="b">
        <v>1</v>
      </c>
    </row>
    <row r="293" spans="1:13">
      <c r="A293" t="s">
        <v>144</v>
      </c>
      <c r="B293" t="s">
        <v>116</v>
      </c>
      <c r="C293">
        <v>15</v>
      </c>
      <c r="D293">
        <v>7.5</v>
      </c>
      <c r="E293">
        <v>7.132348132700853E-05</v>
      </c>
      <c r="F293">
        <v>0</v>
      </c>
      <c r="G293">
        <v>7.132348132676713E-05</v>
      </c>
      <c r="H293">
        <v>0.0208212304486323</v>
      </c>
      <c r="I293">
        <v>7.5</v>
      </c>
      <c r="J293" t="b">
        <v>1</v>
      </c>
      <c r="K293">
        <v>31.3288366738476</v>
      </c>
      <c r="L293" t="b">
        <v>1</v>
      </c>
      <c r="M293" t="b">
        <v>1</v>
      </c>
    </row>
    <row r="294" spans="1:13">
      <c r="A294" t="s">
        <v>144</v>
      </c>
      <c r="B294" t="s">
        <v>117</v>
      </c>
      <c r="C294">
        <v>15</v>
      </c>
      <c r="D294">
        <v>7.5</v>
      </c>
      <c r="E294">
        <v>7.132348132700853E-05</v>
      </c>
      <c r="F294">
        <v>0</v>
      </c>
      <c r="G294">
        <v>7.132348132676713E-05</v>
      </c>
      <c r="H294">
        <v>0.0389424454770903</v>
      </c>
      <c r="I294">
        <v>7.5</v>
      </c>
      <c r="J294" t="b">
        <v>1</v>
      </c>
      <c r="K294">
        <v>31.15372695988014</v>
      </c>
      <c r="L294" t="b">
        <v>1</v>
      </c>
      <c r="M294" t="b">
        <v>1</v>
      </c>
    </row>
    <row r="295" spans="1:13">
      <c r="A295" t="s">
        <v>144</v>
      </c>
      <c r="B295" t="s">
        <v>118</v>
      </c>
      <c r="C295">
        <v>15</v>
      </c>
      <c r="D295">
        <v>7.5</v>
      </c>
      <c r="E295">
        <v>7.132348132700853E-05</v>
      </c>
      <c r="F295">
        <v>0</v>
      </c>
      <c r="G295">
        <v>7.132348132676713E-05</v>
      </c>
      <c r="H295">
        <v>0.0581377541476513</v>
      </c>
      <c r="I295">
        <v>0</v>
      </c>
      <c r="J295" t="b">
        <v>1</v>
      </c>
      <c r="K295">
        <v>30.95931891664208</v>
      </c>
      <c r="L295" t="b">
        <v>1</v>
      </c>
      <c r="M295" t="b">
        <v>1</v>
      </c>
    </row>
    <row r="296" spans="1:13">
      <c r="A296" t="s">
        <v>144</v>
      </c>
      <c r="B296" t="s">
        <v>119</v>
      </c>
      <c r="C296">
        <v>15</v>
      </c>
      <c r="D296">
        <v>7.5</v>
      </c>
      <c r="E296">
        <v>7.132348132700853E-05</v>
      </c>
      <c r="F296">
        <v>0</v>
      </c>
      <c r="G296">
        <v>7.132348132676713E-05</v>
      </c>
      <c r="H296">
        <v>0.0765860163897826</v>
      </c>
      <c r="I296">
        <v>7.5</v>
      </c>
      <c r="J296" t="b">
        <v>1</v>
      </c>
      <c r="K296">
        <v>30.77440219797509</v>
      </c>
      <c r="L296" t="b">
        <v>1</v>
      </c>
      <c r="M296" t="b">
        <v>1</v>
      </c>
    </row>
    <row r="297" spans="1:13">
      <c r="A297" t="s">
        <v>144</v>
      </c>
      <c r="B297" t="s">
        <v>120</v>
      </c>
      <c r="C297">
        <v>15</v>
      </c>
      <c r="D297">
        <v>7.5</v>
      </c>
      <c r="E297">
        <v>7.132348132700853E-05</v>
      </c>
      <c r="F297">
        <v>0</v>
      </c>
      <c r="G297">
        <v>7.132348132676713E-05</v>
      </c>
      <c r="H297">
        <v>0.0279422774403315</v>
      </c>
      <c r="I297">
        <v>0</v>
      </c>
      <c r="J297" t="b">
        <v>1</v>
      </c>
      <c r="K297">
        <v>28.08718763503606</v>
      </c>
      <c r="L297" t="b">
        <v>1</v>
      </c>
      <c r="M297" t="b">
        <v>1</v>
      </c>
    </row>
    <row r="298" spans="1:13">
      <c r="A298" t="s">
        <v>144</v>
      </c>
      <c r="B298" t="s">
        <v>121</v>
      </c>
      <c r="C298">
        <v>15</v>
      </c>
      <c r="D298">
        <v>7.5</v>
      </c>
      <c r="E298">
        <v>7.132348132700853E-05</v>
      </c>
      <c r="F298">
        <v>0</v>
      </c>
      <c r="G298">
        <v>7.132348132676713E-05</v>
      </c>
      <c r="H298">
        <v>0.0520588738445013</v>
      </c>
      <c r="I298">
        <v>0</v>
      </c>
      <c r="J298" t="b">
        <v>1</v>
      </c>
      <c r="K298">
        <v>27.89634775048171</v>
      </c>
      <c r="L298" t="b">
        <v>1</v>
      </c>
      <c r="M298" t="b">
        <v>1</v>
      </c>
    </row>
    <row r="299" spans="1:13">
      <c r="A299" t="s">
        <v>144</v>
      </c>
      <c r="B299" t="s">
        <v>122</v>
      </c>
      <c r="C299">
        <v>15</v>
      </c>
      <c r="D299">
        <v>7.5</v>
      </c>
      <c r="E299">
        <v>7.132348132700853E-05</v>
      </c>
      <c r="F299">
        <v>0</v>
      </c>
      <c r="G299">
        <v>7.132348132676713E-05</v>
      </c>
      <c r="H299">
        <v>0.07719563315033889</v>
      </c>
      <c r="I299">
        <v>0</v>
      </c>
      <c r="J299" t="b">
        <v>1</v>
      </c>
      <c r="K299">
        <v>27.67633823236437</v>
      </c>
      <c r="L299" t="b">
        <v>1</v>
      </c>
      <c r="M299" t="b">
        <v>1</v>
      </c>
    </row>
    <row r="300" spans="1:13">
      <c r="A300" t="s">
        <v>144</v>
      </c>
      <c r="B300" t="s">
        <v>123</v>
      </c>
      <c r="C300">
        <v>15</v>
      </c>
      <c r="D300">
        <v>7.5</v>
      </c>
      <c r="E300">
        <v>7.132348132700852E-05</v>
      </c>
      <c r="F300">
        <v>0</v>
      </c>
      <c r="G300">
        <v>7.132348132676713E-05</v>
      </c>
      <c r="H300">
        <v>0.1012164349762514</v>
      </c>
      <c r="I300">
        <v>7.5</v>
      </c>
      <c r="J300" t="b">
        <v>1</v>
      </c>
      <c r="K300">
        <v>27.54596593965886</v>
      </c>
      <c r="L300" t="b">
        <v>1</v>
      </c>
      <c r="M300" t="b">
        <v>1</v>
      </c>
    </row>
    <row r="301" spans="1:13">
      <c r="A301" t="s">
        <v>144</v>
      </c>
      <c r="B301" t="s">
        <v>124</v>
      </c>
      <c r="C301">
        <v>15</v>
      </c>
      <c r="D301">
        <v>7.5</v>
      </c>
      <c r="E301">
        <v>7.132348131880024E-05</v>
      </c>
      <c r="F301">
        <v>0</v>
      </c>
      <c r="G301">
        <v>7.132348132676713E-05</v>
      </c>
      <c r="H301">
        <v>0.0328022050925937</v>
      </c>
      <c r="I301">
        <v>0</v>
      </c>
      <c r="J301" t="b">
        <v>1</v>
      </c>
      <c r="K301">
        <v>26.17479667580653</v>
      </c>
      <c r="L301" t="b">
        <v>1</v>
      </c>
      <c r="M301" t="b">
        <v>1</v>
      </c>
    </row>
    <row r="302" spans="1:13">
      <c r="A302" t="s">
        <v>144</v>
      </c>
      <c r="B302" t="s">
        <v>125</v>
      </c>
      <c r="C302">
        <v>15</v>
      </c>
      <c r="D302">
        <v>7.5</v>
      </c>
      <c r="E302">
        <v>7.132348131880024E-05</v>
      </c>
      <c r="F302">
        <v>0</v>
      </c>
      <c r="G302">
        <v>7.132348132676713E-05</v>
      </c>
      <c r="H302">
        <v>0.0603782174106157</v>
      </c>
      <c r="I302">
        <v>0</v>
      </c>
      <c r="J302" t="b">
        <v>1</v>
      </c>
      <c r="K302">
        <v>25.94781129367476</v>
      </c>
      <c r="L302" t="b">
        <v>1</v>
      </c>
      <c r="M302" t="b">
        <v>1</v>
      </c>
    </row>
    <row r="303" spans="1:13">
      <c r="A303" t="s">
        <v>144</v>
      </c>
      <c r="B303" t="s">
        <v>126</v>
      </c>
      <c r="C303">
        <v>15</v>
      </c>
      <c r="D303">
        <v>7.5</v>
      </c>
      <c r="E303">
        <v>7.132348131880024E-05</v>
      </c>
      <c r="F303">
        <v>0</v>
      </c>
      <c r="G303">
        <v>7.132348132676713E-05</v>
      </c>
      <c r="H303">
        <v>0.0885372295894768</v>
      </c>
      <c r="I303">
        <v>0</v>
      </c>
      <c r="J303" t="b">
        <v>1</v>
      </c>
      <c r="K303">
        <v>25.74069065332409</v>
      </c>
      <c r="L303" t="b">
        <v>1</v>
      </c>
      <c r="M303" t="b">
        <v>1</v>
      </c>
    </row>
    <row r="304" spans="1:13">
      <c r="A304" t="s">
        <v>144</v>
      </c>
      <c r="B304" t="s">
        <v>127</v>
      </c>
      <c r="C304">
        <v>15</v>
      </c>
      <c r="D304">
        <v>7.5</v>
      </c>
      <c r="E304">
        <v>7.132348131880023E-05</v>
      </c>
      <c r="F304">
        <v>0</v>
      </c>
      <c r="G304">
        <v>7.132348132676713E-05</v>
      </c>
      <c r="H304">
        <v>0.1135704057993294</v>
      </c>
      <c r="I304">
        <v>7.5</v>
      </c>
      <c r="J304" t="b">
        <v>1</v>
      </c>
      <c r="K304">
        <v>25.59641039530476</v>
      </c>
      <c r="L304" t="b">
        <v>1</v>
      </c>
      <c r="M304" t="b">
        <v>1</v>
      </c>
    </row>
    <row r="305" spans="1:13">
      <c r="A305" t="s">
        <v>144</v>
      </c>
      <c r="B305" t="s">
        <v>128</v>
      </c>
      <c r="C305">
        <v>15</v>
      </c>
      <c r="D305">
        <v>7.5</v>
      </c>
      <c r="E305">
        <v>7.132348131880024E-05</v>
      </c>
      <c r="F305">
        <v>0</v>
      </c>
      <c r="G305">
        <v>7.132348132676713E-05</v>
      </c>
      <c r="H305">
        <v>0.0365048300486634</v>
      </c>
      <c r="I305">
        <v>7.5</v>
      </c>
      <c r="J305" t="b">
        <v>1</v>
      </c>
      <c r="K305">
        <v>24.77638661329422</v>
      </c>
      <c r="L305" t="b">
        <v>1</v>
      </c>
      <c r="M305" t="b">
        <v>1</v>
      </c>
    </row>
    <row r="306" spans="1:13">
      <c r="A306" t="s">
        <v>144</v>
      </c>
      <c r="B306" t="s">
        <v>129</v>
      </c>
      <c r="C306">
        <v>15</v>
      </c>
      <c r="D306">
        <v>7.5</v>
      </c>
      <c r="E306">
        <v>7.132348131880024E-05</v>
      </c>
      <c r="F306">
        <v>0</v>
      </c>
      <c r="G306">
        <v>7.132348132676713E-05</v>
      </c>
      <c r="H306">
        <v>0.0669097894597214</v>
      </c>
      <c r="I306">
        <v>0</v>
      </c>
      <c r="J306" t="b">
        <v>1</v>
      </c>
      <c r="K306">
        <v>24.58840397122088</v>
      </c>
      <c r="L306" t="b">
        <v>1</v>
      </c>
      <c r="M306" t="b">
        <v>1</v>
      </c>
    </row>
    <row r="307" spans="1:13">
      <c r="A307" t="s">
        <v>144</v>
      </c>
      <c r="B307" t="s">
        <v>130</v>
      </c>
      <c r="C307">
        <v>15</v>
      </c>
      <c r="D307">
        <v>7.5</v>
      </c>
      <c r="E307">
        <v>7.132348131880023E-05</v>
      </c>
      <c r="F307">
        <v>0</v>
      </c>
      <c r="G307">
        <v>7.132348132676713E-05</v>
      </c>
      <c r="H307">
        <v>0.09666936033103821</v>
      </c>
      <c r="I307">
        <v>7.5</v>
      </c>
      <c r="J307" t="b">
        <v>1</v>
      </c>
      <c r="K307">
        <v>24.36711540429428</v>
      </c>
      <c r="L307" t="b">
        <v>1</v>
      </c>
      <c r="M307" t="b">
        <v>1</v>
      </c>
    </row>
    <row r="308" spans="1:13">
      <c r="A308" t="s">
        <v>144</v>
      </c>
      <c r="B308" t="s">
        <v>131</v>
      </c>
      <c r="C308">
        <v>15</v>
      </c>
      <c r="D308">
        <v>7.5</v>
      </c>
      <c r="E308">
        <v>0.0069054307902453</v>
      </c>
      <c r="F308">
        <v>0</v>
      </c>
      <c r="G308">
        <v>7.132348132676713E-05</v>
      </c>
      <c r="H308">
        <v>0.1202952604709963</v>
      </c>
      <c r="I308">
        <v>0</v>
      </c>
      <c r="J308" t="b">
        <v>1</v>
      </c>
      <c r="K308">
        <v>24.18022965198716</v>
      </c>
      <c r="L308" t="b">
        <v>1</v>
      </c>
      <c r="M308" t="b">
        <v>1</v>
      </c>
    </row>
    <row r="309" spans="1:13">
      <c r="A309" t="s">
        <v>144</v>
      </c>
      <c r="B309" t="s">
        <v>132</v>
      </c>
      <c r="C309">
        <v>15</v>
      </c>
      <c r="D309">
        <v>7.5</v>
      </c>
      <c r="E309">
        <v>0.0025508759334295</v>
      </c>
      <c r="F309">
        <v>0</v>
      </c>
      <c r="G309">
        <v>7.132348132676713E-05</v>
      </c>
      <c r="H309">
        <v>0.0397962173554589</v>
      </c>
      <c r="I309">
        <v>7.5</v>
      </c>
      <c r="J309" t="b">
        <v>1</v>
      </c>
      <c r="K309">
        <v>23.74591804734223</v>
      </c>
      <c r="L309" t="b">
        <v>1</v>
      </c>
      <c r="M309" t="b">
        <v>1</v>
      </c>
    </row>
    <row r="310" spans="1:13">
      <c r="A310" t="s">
        <v>144</v>
      </c>
      <c r="B310" t="s">
        <v>133</v>
      </c>
      <c r="C310">
        <v>15</v>
      </c>
      <c r="D310">
        <v>7.5</v>
      </c>
      <c r="E310">
        <v>0.0260035889609795</v>
      </c>
      <c r="F310">
        <v>0</v>
      </c>
      <c r="G310">
        <v>7.132348132676713E-05</v>
      </c>
      <c r="H310">
        <v>0.0720365076968825</v>
      </c>
      <c r="I310">
        <v>7.5</v>
      </c>
      <c r="J310" t="b">
        <v>1</v>
      </c>
      <c r="K310">
        <v>23.52743470446867</v>
      </c>
      <c r="L310" t="b">
        <v>1</v>
      </c>
      <c r="M310" t="b">
        <v>0</v>
      </c>
    </row>
    <row r="311" spans="1:13">
      <c r="A311" t="s">
        <v>144</v>
      </c>
      <c r="B311" t="s">
        <v>134</v>
      </c>
      <c r="C311">
        <v>15</v>
      </c>
      <c r="D311">
        <v>7.5</v>
      </c>
      <c r="E311">
        <v>0.0003595122740496</v>
      </c>
      <c r="F311">
        <v>0.0006790281033963</v>
      </c>
      <c r="G311">
        <v>7.132348132676713E-05</v>
      </c>
      <c r="H311">
        <v>0</v>
      </c>
      <c r="J311" t="b">
        <v>1</v>
      </c>
      <c r="K311">
        <v>16.57292172835909</v>
      </c>
      <c r="L311" t="b">
        <v>1</v>
      </c>
      <c r="M311" t="b">
        <v>1</v>
      </c>
    </row>
    <row r="312" spans="1:13">
      <c r="A312" t="s">
        <v>144</v>
      </c>
      <c r="B312" t="s">
        <v>135</v>
      </c>
      <c r="C312">
        <v>15</v>
      </c>
      <c r="D312">
        <v>7.5</v>
      </c>
      <c r="E312">
        <v>0.0004969097826447</v>
      </c>
      <c r="F312">
        <v>0.0009157074258115</v>
      </c>
      <c r="G312">
        <v>7.132348132676713E-05</v>
      </c>
      <c r="H312">
        <v>0</v>
      </c>
      <c r="J312" t="b">
        <v>1</v>
      </c>
      <c r="K312">
        <v>17.57685375647995</v>
      </c>
      <c r="L312" t="b">
        <v>1</v>
      </c>
      <c r="M312" t="b">
        <v>1</v>
      </c>
    </row>
    <row r="313" spans="1:13">
      <c r="A313" t="s">
        <v>144</v>
      </c>
      <c r="B313" t="s">
        <v>136</v>
      </c>
      <c r="C313">
        <v>15</v>
      </c>
      <c r="D313">
        <v>7.5</v>
      </c>
      <c r="E313">
        <v>0.0001220969645061</v>
      </c>
      <c r="F313">
        <v>0.0002385363886067</v>
      </c>
      <c r="G313">
        <v>7.132348132676713E-05</v>
      </c>
      <c r="H313">
        <v>0</v>
      </c>
      <c r="J313" t="b">
        <v>1</v>
      </c>
      <c r="K313">
        <v>12.67361379150032</v>
      </c>
      <c r="L313" t="b">
        <v>1</v>
      </c>
      <c r="M313" t="b">
        <v>1</v>
      </c>
    </row>
    <row r="314" spans="1:13">
      <c r="A314" t="s">
        <v>144</v>
      </c>
      <c r="B314" t="s">
        <v>137</v>
      </c>
      <c r="C314">
        <v>15</v>
      </c>
      <c r="D314">
        <v>7.5</v>
      </c>
      <c r="E314">
        <v>0.0002332458942085</v>
      </c>
      <c r="F314">
        <v>0.0004489223572803</v>
      </c>
      <c r="G314">
        <v>7.132348132676713E-05</v>
      </c>
      <c r="H314">
        <v>0</v>
      </c>
      <c r="J314" t="b">
        <v>1</v>
      </c>
      <c r="K314">
        <v>14.31988163570992</v>
      </c>
      <c r="L314" t="b">
        <v>1</v>
      </c>
      <c r="M314" t="b">
        <v>1</v>
      </c>
    </row>
    <row r="315" spans="1:13">
      <c r="A315" t="s">
        <v>144</v>
      </c>
      <c r="B315" t="s">
        <v>138</v>
      </c>
      <c r="C315">
        <v>15</v>
      </c>
      <c r="D315">
        <v>7.5</v>
      </c>
      <c r="E315">
        <v>0.0003595122740496</v>
      </c>
      <c r="F315">
        <v>0.0006790281033963</v>
      </c>
      <c r="G315">
        <v>7.132348132676713E-05</v>
      </c>
      <c r="H315">
        <v>0</v>
      </c>
      <c r="J315" t="b">
        <v>1</v>
      </c>
      <c r="K315">
        <v>15.54661826896435</v>
      </c>
      <c r="L315" t="b">
        <v>1</v>
      </c>
      <c r="M315" t="b">
        <v>1</v>
      </c>
    </row>
    <row r="316" spans="1:13">
      <c r="A316" t="s">
        <v>144</v>
      </c>
      <c r="B316" t="s">
        <v>139</v>
      </c>
      <c r="C316">
        <v>15</v>
      </c>
      <c r="D316">
        <v>7.5</v>
      </c>
      <c r="E316">
        <v>0.0004969097826447</v>
      </c>
      <c r="F316">
        <v>0.0009157074258115</v>
      </c>
      <c r="G316">
        <v>7.132348132676713E-05</v>
      </c>
      <c r="H316">
        <v>0</v>
      </c>
      <c r="J316" t="b">
        <v>1</v>
      </c>
      <c r="K316">
        <v>16.54869565246813</v>
      </c>
      <c r="L316" t="b">
        <v>1</v>
      </c>
      <c r="M316" t="b">
        <v>1</v>
      </c>
    </row>
    <row r="317" spans="1:13">
      <c r="A317" t="s">
        <v>145</v>
      </c>
      <c r="B317" t="s">
        <v>116</v>
      </c>
      <c r="C317">
        <v>15</v>
      </c>
      <c r="D317">
        <v>7.5</v>
      </c>
      <c r="E317">
        <v>0.0012280641797688</v>
      </c>
      <c r="F317">
        <v>0</v>
      </c>
      <c r="G317">
        <v>0.0012280641797661</v>
      </c>
      <c r="H317">
        <v>0.0189595120527314</v>
      </c>
      <c r="I317">
        <v>7.5</v>
      </c>
      <c r="J317" t="b">
        <v>1</v>
      </c>
      <c r="K317">
        <v>29.80958293077549</v>
      </c>
      <c r="L317" t="b">
        <v>1</v>
      </c>
      <c r="M317" t="b">
        <v>1</v>
      </c>
    </row>
    <row r="318" spans="1:13">
      <c r="A318" t="s">
        <v>145</v>
      </c>
      <c r="B318" t="s">
        <v>117</v>
      </c>
      <c r="C318">
        <v>15</v>
      </c>
      <c r="D318">
        <v>7.5</v>
      </c>
      <c r="E318">
        <v>0.0012280641797688</v>
      </c>
      <c r="F318">
        <v>0</v>
      </c>
      <c r="G318">
        <v>0.0012280641797661</v>
      </c>
      <c r="H318">
        <v>0.0349481546940069</v>
      </c>
      <c r="I318">
        <v>0</v>
      </c>
      <c r="J318" t="b">
        <v>1</v>
      </c>
      <c r="K318">
        <v>29.59871106162524</v>
      </c>
      <c r="L318" t="b">
        <v>1</v>
      </c>
      <c r="M318" t="b">
        <v>1</v>
      </c>
    </row>
    <row r="319" spans="1:13">
      <c r="A319" t="s">
        <v>145</v>
      </c>
      <c r="B319" t="s">
        <v>118</v>
      </c>
      <c r="C319">
        <v>15</v>
      </c>
      <c r="D319">
        <v>7.5</v>
      </c>
      <c r="E319">
        <v>0.0012280641797688</v>
      </c>
      <c r="F319">
        <v>0</v>
      </c>
      <c r="G319">
        <v>0.0012280641797661</v>
      </c>
      <c r="H319">
        <v>0.0519001664400207</v>
      </c>
      <c r="I319">
        <v>7.5</v>
      </c>
      <c r="J319" t="b">
        <v>1</v>
      </c>
      <c r="K319">
        <v>29.41915506009565</v>
      </c>
      <c r="L319" t="b">
        <v>1</v>
      </c>
      <c r="M319" t="b">
        <v>1</v>
      </c>
    </row>
    <row r="320" spans="1:13">
      <c r="A320" t="s">
        <v>145</v>
      </c>
      <c r="B320" t="s">
        <v>119</v>
      </c>
      <c r="C320">
        <v>15</v>
      </c>
      <c r="D320">
        <v>7.5</v>
      </c>
      <c r="E320">
        <v>0.0012280641797688</v>
      </c>
      <c r="F320">
        <v>0</v>
      </c>
      <c r="G320">
        <v>0.0012280641797661</v>
      </c>
      <c r="H320">
        <v>0.0681726240518685</v>
      </c>
      <c r="I320">
        <v>7.5</v>
      </c>
      <c r="J320" t="b">
        <v>1</v>
      </c>
      <c r="K320">
        <v>29.31831012171173</v>
      </c>
      <c r="L320" t="b">
        <v>1</v>
      </c>
      <c r="M320" t="b">
        <v>1</v>
      </c>
    </row>
    <row r="321" spans="1:13">
      <c r="A321" t="s">
        <v>145</v>
      </c>
      <c r="B321" t="s">
        <v>120</v>
      </c>
      <c r="C321">
        <v>15</v>
      </c>
      <c r="D321">
        <v>7.5</v>
      </c>
      <c r="E321">
        <v>0.001260042902137</v>
      </c>
      <c r="F321">
        <v>0</v>
      </c>
      <c r="G321">
        <v>0.0012280641797661</v>
      </c>
      <c r="H321">
        <v>0.0252149834261246</v>
      </c>
      <c r="I321">
        <v>7.5</v>
      </c>
      <c r="J321" t="b">
        <v>1</v>
      </c>
      <c r="K321">
        <v>26.58027118131088</v>
      </c>
      <c r="L321" t="b">
        <v>1</v>
      </c>
      <c r="M321" t="b">
        <v>1</v>
      </c>
    </row>
    <row r="322" spans="1:13">
      <c r="A322" t="s">
        <v>145</v>
      </c>
      <c r="B322" t="s">
        <v>121</v>
      </c>
      <c r="C322">
        <v>15</v>
      </c>
      <c r="D322">
        <v>7.5</v>
      </c>
      <c r="E322">
        <v>0.001640886231463</v>
      </c>
      <c r="F322">
        <v>0</v>
      </c>
      <c r="G322">
        <v>0.0012280641797661</v>
      </c>
      <c r="H322">
        <v>0.0459224830648992</v>
      </c>
      <c r="I322">
        <v>0</v>
      </c>
      <c r="J322" t="b">
        <v>1</v>
      </c>
      <c r="K322">
        <v>26.32965071433944</v>
      </c>
      <c r="L322" t="b">
        <v>1</v>
      </c>
      <c r="M322" t="b">
        <v>1</v>
      </c>
    </row>
    <row r="323" spans="1:13">
      <c r="A323" t="s">
        <v>145</v>
      </c>
      <c r="B323" t="s">
        <v>122</v>
      </c>
      <c r="C323">
        <v>15</v>
      </c>
      <c r="D323">
        <v>7.5</v>
      </c>
      <c r="E323">
        <v>0.0018518194085455</v>
      </c>
      <c r="F323">
        <v>0</v>
      </c>
      <c r="G323">
        <v>0.0012280641797661</v>
      </c>
      <c r="H323">
        <v>0.0677801327349811</v>
      </c>
      <c r="I323">
        <v>0</v>
      </c>
      <c r="J323" t="b">
        <v>1</v>
      </c>
      <c r="K323">
        <v>26.20308732776522</v>
      </c>
      <c r="L323" t="b">
        <v>1</v>
      </c>
      <c r="M323" t="b">
        <v>1</v>
      </c>
    </row>
    <row r="324" spans="1:13">
      <c r="A324" t="s">
        <v>145</v>
      </c>
      <c r="B324" t="s">
        <v>123</v>
      </c>
      <c r="C324">
        <v>15</v>
      </c>
      <c r="D324">
        <v>7.5</v>
      </c>
      <c r="E324">
        <v>0.0028278043181293</v>
      </c>
      <c r="F324">
        <v>0</v>
      </c>
      <c r="G324">
        <v>0.0012280641797661</v>
      </c>
      <c r="H324">
        <v>0.0882896791168548</v>
      </c>
      <c r="I324">
        <v>7.5</v>
      </c>
      <c r="J324" t="b">
        <v>1</v>
      </c>
      <c r="K324">
        <v>26.11172451396442</v>
      </c>
      <c r="L324" t="b">
        <v>1</v>
      </c>
      <c r="M324" t="b">
        <v>1</v>
      </c>
    </row>
    <row r="325" spans="1:13">
      <c r="A325" t="s">
        <v>145</v>
      </c>
      <c r="B325" t="s">
        <v>124</v>
      </c>
      <c r="C325">
        <v>15</v>
      </c>
      <c r="D325">
        <v>7.5</v>
      </c>
      <c r="E325">
        <v>0.0030142174806179</v>
      </c>
      <c r="F325">
        <v>0</v>
      </c>
      <c r="G325">
        <v>0.0012280641797661</v>
      </c>
      <c r="H325">
        <v>0.0290564174237317</v>
      </c>
      <c r="I325">
        <v>0</v>
      </c>
      <c r="J325" t="b">
        <v>1</v>
      </c>
      <c r="K325">
        <v>24.60747773328506</v>
      </c>
      <c r="L325" t="b">
        <v>1</v>
      </c>
      <c r="M325" t="b">
        <v>1</v>
      </c>
    </row>
    <row r="326" spans="1:13">
      <c r="A326" t="s">
        <v>145</v>
      </c>
      <c r="B326" t="s">
        <v>125</v>
      </c>
      <c r="C326">
        <v>15</v>
      </c>
      <c r="D326">
        <v>7.5</v>
      </c>
      <c r="E326">
        <v>0.0032553209299058</v>
      </c>
      <c r="F326">
        <v>0</v>
      </c>
      <c r="G326">
        <v>0.0012280641797661</v>
      </c>
      <c r="H326">
        <v>0.0526828279858051</v>
      </c>
      <c r="I326">
        <v>0</v>
      </c>
      <c r="J326" t="b">
        <v>1</v>
      </c>
      <c r="K326">
        <v>24.43772562281765</v>
      </c>
      <c r="L326" t="b">
        <v>1</v>
      </c>
      <c r="M326" t="b">
        <v>1</v>
      </c>
    </row>
    <row r="327" spans="1:13">
      <c r="A327" t="s">
        <v>145</v>
      </c>
      <c r="B327" t="s">
        <v>126</v>
      </c>
      <c r="C327">
        <v>15</v>
      </c>
      <c r="D327">
        <v>7.5</v>
      </c>
      <c r="E327">
        <v>0.0059217599589344</v>
      </c>
      <c r="F327">
        <v>0</v>
      </c>
      <c r="G327">
        <v>0.0012280641797661</v>
      </c>
      <c r="H327">
        <v>0.0759248225222393</v>
      </c>
      <c r="I327">
        <v>7.5</v>
      </c>
      <c r="J327" t="b">
        <v>1</v>
      </c>
      <c r="K327">
        <v>24.26506830517781</v>
      </c>
      <c r="L327" t="b">
        <v>1</v>
      </c>
      <c r="M327" t="b">
        <v>1</v>
      </c>
    </row>
    <row r="328" spans="1:13">
      <c r="A328" t="s">
        <v>145</v>
      </c>
      <c r="B328" t="s">
        <v>127</v>
      </c>
      <c r="C328">
        <v>15</v>
      </c>
      <c r="D328">
        <v>7.5</v>
      </c>
      <c r="E328">
        <v>0.0015234624694618</v>
      </c>
      <c r="F328">
        <v>0</v>
      </c>
      <c r="G328">
        <v>0.0012280641797661</v>
      </c>
      <c r="H328">
        <v>0.0965785044218421</v>
      </c>
      <c r="I328">
        <v>7.5</v>
      </c>
      <c r="J328" t="b">
        <v>1</v>
      </c>
      <c r="K328">
        <v>24.21664659942877</v>
      </c>
      <c r="L328" t="b">
        <v>1</v>
      </c>
      <c r="M328" t="b">
        <v>1</v>
      </c>
    </row>
    <row r="329" spans="1:13">
      <c r="A329" t="s">
        <v>145</v>
      </c>
      <c r="B329" t="s">
        <v>128</v>
      </c>
      <c r="C329">
        <v>15</v>
      </c>
      <c r="D329">
        <v>7.5</v>
      </c>
      <c r="E329">
        <v>0.0012630120720051</v>
      </c>
      <c r="F329">
        <v>0</v>
      </c>
      <c r="G329">
        <v>0.0012280641797661</v>
      </c>
      <c r="H329">
        <v>0.0321811029737304</v>
      </c>
      <c r="I329">
        <v>7.5</v>
      </c>
      <c r="J329" t="b">
        <v>1</v>
      </c>
      <c r="K329">
        <v>23.29160781539912</v>
      </c>
      <c r="L329" t="b">
        <v>1</v>
      </c>
      <c r="M329" t="b">
        <v>1</v>
      </c>
    </row>
    <row r="330" spans="1:13">
      <c r="A330" t="s">
        <v>145</v>
      </c>
      <c r="B330" t="s">
        <v>129</v>
      </c>
      <c r="C330">
        <v>15</v>
      </c>
      <c r="D330">
        <v>7.5</v>
      </c>
      <c r="E330">
        <v>0.0044876356245107</v>
      </c>
      <c r="F330">
        <v>0</v>
      </c>
      <c r="G330">
        <v>0.0012280641797661</v>
      </c>
      <c r="H330">
        <v>0.056892887072756</v>
      </c>
      <c r="I330">
        <v>0</v>
      </c>
      <c r="J330" t="b">
        <v>1</v>
      </c>
      <c r="K330">
        <v>23.02860150788248</v>
      </c>
      <c r="L330" t="b">
        <v>1</v>
      </c>
      <c r="M330" t="b">
        <v>1</v>
      </c>
    </row>
    <row r="331" spans="1:13">
      <c r="A331" t="s">
        <v>145</v>
      </c>
      <c r="B331" t="s">
        <v>130</v>
      </c>
      <c r="C331">
        <v>15</v>
      </c>
      <c r="D331">
        <v>7.5</v>
      </c>
      <c r="E331">
        <v>0.0055431800866604</v>
      </c>
      <c r="F331">
        <v>0</v>
      </c>
      <c r="G331">
        <v>0.0012280641797661</v>
      </c>
      <c r="H331">
        <v>0.08053806287729511</v>
      </c>
      <c r="I331">
        <v>0</v>
      </c>
      <c r="J331" t="b">
        <v>1</v>
      </c>
      <c r="K331">
        <v>22.90744067188797</v>
      </c>
      <c r="L331" t="b">
        <v>1</v>
      </c>
      <c r="M331" t="b">
        <v>1</v>
      </c>
    </row>
    <row r="332" spans="1:13">
      <c r="A332" t="s">
        <v>145</v>
      </c>
      <c r="B332" t="s">
        <v>131</v>
      </c>
      <c r="C332">
        <v>15</v>
      </c>
      <c r="D332">
        <v>7.5</v>
      </c>
      <c r="E332">
        <v>0.00603894920408</v>
      </c>
      <c r="F332">
        <v>0</v>
      </c>
      <c r="G332">
        <v>0.0012280641797661</v>
      </c>
      <c r="H332">
        <v>0.099172522519896</v>
      </c>
      <c r="I332">
        <v>0</v>
      </c>
      <c r="J332" t="b">
        <v>1</v>
      </c>
      <c r="K332">
        <v>22.94121706786569</v>
      </c>
      <c r="L332" t="b">
        <v>1</v>
      </c>
      <c r="M332" t="b">
        <v>1</v>
      </c>
    </row>
    <row r="333" spans="1:13">
      <c r="A333" t="s">
        <v>145</v>
      </c>
      <c r="B333" t="s">
        <v>132</v>
      </c>
      <c r="C333">
        <v>15</v>
      </c>
      <c r="D333">
        <v>7.5</v>
      </c>
      <c r="E333">
        <v>0.00629429154938</v>
      </c>
      <c r="F333">
        <v>0</v>
      </c>
      <c r="G333">
        <v>0.0012280641797661</v>
      </c>
      <c r="H333">
        <v>0.0345384223515878</v>
      </c>
      <c r="I333">
        <v>0</v>
      </c>
      <c r="J333" t="b">
        <v>1</v>
      </c>
      <c r="K333">
        <v>22.23689783406968</v>
      </c>
      <c r="L333" t="b">
        <v>1</v>
      </c>
      <c r="M333" t="b">
        <v>1</v>
      </c>
    </row>
    <row r="334" spans="1:13">
      <c r="A334" t="s">
        <v>145</v>
      </c>
      <c r="B334" t="s">
        <v>133</v>
      </c>
      <c r="C334">
        <v>15</v>
      </c>
      <c r="D334">
        <v>7.5</v>
      </c>
      <c r="E334">
        <v>0.0025083179930354</v>
      </c>
      <c r="F334">
        <v>0</v>
      </c>
      <c r="G334">
        <v>0.0012280641797661</v>
      </c>
      <c r="H334">
        <v>0.0598364758994485</v>
      </c>
      <c r="I334">
        <v>7.5</v>
      </c>
      <c r="J334" t="b">
        <v>1</v>
      </c>
      <c r="K334">
        <v>21.96370924320377</v>
      </c>
      <c r="L334" t="b">
        <v>1</v>
      </c>
      <c r="M334" t="b">
        <v>1</v>
      </c>
    </row>
    <row r="335" spans="1:13">
      <c r="A335" t="s">
        <v>145</v>
      </c>
      <c r="B335" t="s">
        <v>134</v>
      </c>
      <c r="C335">
        <v>15</v>
      </c>
      <c r="D335">
        <v>7.5</v>
      </c>
      <c r="E335">
        <v>0.0002930387179758</v>
      </c>
      <c r="F335">
        <v>0.0005531651290363</v>
      </c>
      <c r="G335">
        <v>0.0012280641797661</v>
      </c>
      <c r="H335">
        <v>0</v>
      </c>
      <c r="J335" t="b">
        <v>1</v>
      </c>
      <c r="K335">
        <v>16.43263620357516</v>
      </c>
      <c r="L335" t="b">
        <v>1</v>
      </c>
      <c r="M335" t="b">
        <v>1</v>
      </c>
    </row>
    <row r="336" spans="1:13">
      <c r="A336" t="s">
        <v>145</v>
      </c>
      <c r="B336" t="s">
        <v>135</v>
      </c>
      <c r="C336">
        <v>15</v>
      </c>
      <c r="D336">
        <v>7.5</v>
      </c>
      <c r="E336">
        <v>0.0004080568098573</v>
      </c>
      <c r="F336">
        <v>0.000751030810333</v>
      </c>
      <c r="G336">
        <v>0.0012280641797661</v>
      </c>
      <c r="H336">
        <v>0</v>
      </c>
      <c r="J336" t="b">
        <v>1</v>
      </c>
      <c r="K336">
        <v>17.43482570437358</v>
      </c>
      <c r="L336" t="b">
        <v>1</v>
      </c>
      <c r="M336" t="b">
        <v>1</v>
      </c>
    </row>
    <row r="337" spans="1:13">
      <c r="A337" t="s">
        <v>145</v>
      </c>
      <c r="B337" t="s">
        <v>136</v>
      </c>
      <c r="C337">
        <v>15</v>
      </c>
      <c r="D337">
        <v>7.5</v>
      </c>
      <c r="E337">
        <v>0.0001048630846041</v>
      </c>
      <c r="F337">
        <v>0.000204859895044</v>
      </c>
      <c r="G337">
        <v>0.0012280641797661</v>
      </c>
      <c r="H337">
        <v>0</v>
      </c>
      <c r="J337" t="b">
        <v>1</v>
      </c>
      <c r="K337">
        <v>12.55640244112754</v>
      </c>
      <c r="L337" t="b">
        <v>1</v>
      </c>
      <c r="M337" t="b">
        <v>1</v>
      </c>
    </row>
    <row r="338" spans="1:13">
      <c r="A338" t="s">
        <v>145</v>
      </c>
      <c r="B338" t="s">
        <v>137</v>
      </c>
      <c r="C338">
        <v>15</v>
      </c>
      <c r="D338">
        <v>7.5</v>
      </c>
      <c r="E338">
        <v>0.0001938458608582</v>
      </c>
      <c r="F338">
        <v>0.0003730251247622</v>
      </c>
      <c r="G338">
        <v>0.0012280641797661</v>
      </c>
      <c r="H338">
        <v>0</v>
      </c>
      <c r="J338" t="b">
        <v>1</v>
      </c>
      <c r="K338">
        <v>14.18929936197344</v>
      </c>
      <c r="L338" t="b">
        <v>1</v>
      </c>
      <c r="M338" t="b">
        <v>1</v>
      </c>
    </row>
    <row r="339" spans="1:13">
      <c r="A339" t="s">
        <v>145</v>
      </c>
      <c r="B339" t="s">
        <v>138</v>
      </c>
      <c r="C339">
        <v>15</v>
      </c>
      <c r="D339">
        <v>7.5</v>
      </c>
      <c r="E339">
        <v>0.0002930387179758</v>
      </c>
      <c r="F339">
        <v>0.0005531651290363</v>
      </c>
      <c r="G339">
        <v>0.0012280641797661</v>
      </c>
      <c r="H339">
        <v>0</v>
      </c>
      <c r="J339" t="b">
        <v>1</v>
      </c>
      <c r="K339">
        <v>15.40740273967103</v>
      </c>
      <c r="L339" t="b">
        <v>1</v>
      </c>
      <c r="M339" t="b">
        <v>1</v>
      </c>
    </row>
    <row r="340" spans="1:13">
      <c r="A340" t="s">
        <v>145</v>
      </c>
      <c r="B340" t="s">
        <v>139</v>
      </c>
      <c r="C340">
        <v>15</v>
      </c>
      <c r="D340">
        <v>7.5</v>
      </c>
      <c r="E340">
        <v>0.0004080568098573</v>
      </c>
      <c r="F340">
        <v>0.000751030810333</v>
      </c>
      <c r="G340">
        <v>0.0012280641797661</v>
      </c>
      <c r="H340">
        <v>0</v>
      </c>
      <c r="J340" t="b">
        <v>1</v>
      </c>
      <c r="K340">
        <v>16.41047871490571</v>
      </c>
      <c r="L340" t="b">
        <v>1</v>
      </c>
      <c r="M340" t="b">
        <v>1</v>
      </c>
    </row>
    <row r="341" spans="1:13">
      <c r="A341" t="s">
        <v>146</v>
      </c>
      <c r="B341" t="s">
        <v>116</v>
      </c>
      <c r="C341">
        <v>15</v>
      </c>
      <c r="D341">
        <v>7.5</v>
      </c>
      <c r="E341">
        <v>0.0016533030602832</v>
      </c>
      <c r="F341">
        <v>0</v>
      </c>
      <c r="G341">
        <v>0.0016533030602819</v>
      </c>
      <c r="H341">
        <v>0.0220283367284821</v>
      </c>
      <c r="I341">
        <v>0</v>
      </c>
      <c r="J341" t="b">
        <v>1</v>
      </c>
      <c r="K341">
        <v>32.30201447165086</v>
      </c>
      <c r="L341" t="b">
        <v>1</v>
      </c>
      <c r="M341" t="b">
        <v>1</v>
      </c>
    </row>
    <row r="342" spans="1:13">
      <c r="A342" t="s">
        <v>146</v>
      </c>
      <c r="B342" t="s">
        <v>117</v>
      </c>
      <c r="C342">
        <v>15</v>
      </c>
      <c r="D342">
        <v>7.5</v>
      </c>
      <c r="E342">
        <v>0.0016533030602832</v>
      </c>
      <c r="F342">
        <v>0</v>
      </c>
      <c r="G342">
        <v>0.0016533030602819</v>
      </c>
      <c r="H342">
        <v>0.0414291652832616</v>
      </c>
      <c r="I342">
        <v>7.5</v>
      </c>
      <c r="J342" t="b">
        <v>1</v>
      </c>
      <c r="K342">
        <v>32.0812941029871</v>
      </c>
      <c r="L342" t="b">
        <v>1</v>
      </c>
      <c r="M342" t="b">
        <v>1</v>
      </c>
    </row>
    <row r="343" spans="1:13">
      <c r="A343" t="s">
        <v>146</v>
      </c>
      <c r="B343" t="s">
        <v>118</v>
      </c>
      <c r="C343">
        <v>15</v>
      </c>
      <c r="D343">
        <v>7.5</v>
      </c>
      <c r="E343">
        <v>0.0016533030602832</v>
      </c>
      <c r="F343">
        <v>0</v>
      </c>
      <c r="G343">
        <v>0.0016533030602819</v>
      </c>
      <c r="H343">
        <v>0.0624930295980163</v>
      </c>
      <c r="I343">
        <v>0</v>
      </c>
      <c r="J343" t="b">
        <v>1</v>
      </c>
      <c r="K343">
        <v>31.8784991813061</v>
      </c>
      <c r="L343" t="b">
        <v>1</v>
      </c>
      <c r="M343" t="b">
        <v>1</v>
      </c>
    </row>
    <row r="344" spans="1:13">
      <c r="A344" t="s">
        <v>146</v>
      </c>
      <c r="B344" t="s">
        <v>119</v>
      </c>
      <c r="C344">
        <v>15</v>
      </c>
      <c r="D344">
        <v>7.5</v>
      </c>
      <c r="E344">
        <v>0.0016533030602832</v>
      </c>
      <c r="F344">
        <v>0</v>
      </c>
      <c r="G344">
        <v>0.0016533030602819</v>
      </c>
      <c r="H344">
        <v>0.0837576095585745</v>
      </c>
      <c r="I344">
        <v>7.5</v>
      </c>
      <c r="J344" t="b">
        <v>1</v>
      </c>
      <c r="K344">
        <v>31.74960220342768</v>
      </c>
      <c r="L344" t="b">
        <v>1</v>
      </c>
      <c r="M344" t="b">
        <v>1</v>
      </c>
    </row>
    <row r="345" spans="1:13">
      <c r="A345" t="s">
        <v>146</v>
      </c>
      <c r="B345" t="s">
        <v>120</v>
      </c>
      <c r="C345">
        <v>15</v>
      </c>
      <c r="D345">
        <v>7.5</v>
      </c>
      <c r="E345">
        <v>0.0016533030602832</v>
      </c>
      <c r="F345">
        <v>0</v>
      </c>
      <c r="G345">
        <v>0.0016533030602819</v>
      </c>
      <c r="H345">
        <v>0.0299984447044749</v>
      </c>
      <c r="I345">
        <v>0</v>
      </c>
      <c r="J345" t="b">
        <v>1</v>
      </c>
      <c r="K345">
        <v>29.02959063625303</v>
      </c>
      <c r="L345" t="b">
        <v>1</v>
      </c>
      <c r="M345" t="b">
        <v>1</v>
      </c>
    </row>
    <row r="346" spans="1:13">
      <c r="A346" t="s">
        <v>146</v>
      </c>
      <c r="B346" t="s">
        <v>121</v>
      </c>
      <c r="C346">
        <v>15</v>
      </c>
      <c r="D346">
        <v>7.5</v>
      </c>
      <c r="E346">
        <v>0.0016533030602832</v>
      </c>
      <c r="F346">
        <v>0</v>
      </c>
      <c r="G346">
        <v>0.0016533030602819</v>
      </c>
      <c r="H346">
        <v>0.0565806255165313</v>
      </c>
      <c r="I346">
        <v>0</v>
      </c>
      <c r="J346" t="b">
        <v>1</v>
      </c>
      <c r="K346">
        <v>28.81897989126827</v>
      </c>
      <c r="L346" t="b">
        <v>1</v>
      </c>
      <c r="M346" t="b">
        <v>1</v>
      </c>
    </row>
    <row r="347" spans="1:13">
      <c r="A347" t="s">
        <v>146</v>
      </c>
      <c r="B347" t="s">
        <v>122</v>
      </c>
      <c r="C347">
        <v>15</v>
      </c>
      <c r="D347">
        <v>7.5</v>
      </c>
      <c r="E347">
        <v>0.0016533030602834</v>
      </c>
      <c r="F347">
        <v>0</v>
      </c>
      <c r="G347">
        <v>0.0016533030602819</v>
      </c>
      <c r="H347">
        <v>0.0859893998695042</v>
      </c>
      <c r="I347">
        <v>7.5</v>
      </c>
      <c r="J347" t="b">
        <v>1</v>
      </c>
      <c r="K347">
        <v>28.65217215016358</v>
      </c>
      <c r="L347" t="b">
        <v>1</v>
      </c>
      <c r="M347" t="b">
        <v>1</v>
      </c>
    </row>
    <row r="348" spans="1:13">
      <c r="A348" t="s">
        <v>146</v>
      </c>
      <c r="B348" t="s">
        <v>123</v>
      </c>
      <c r="C348">
        <v>15</v>
      </c>
      <c r="D348">
        <v>7.5</v>
      </c>
      <c r="E348">
        <v>0.0016533030602832</v>
      </c>
      <c r="F348">
        <v>0</v>
      </c>
      <c r="G348">
        <v>0.0016533030602819</v>
      </c>
      <c r="H348">
        <v>0.1151458391887843</v>
      </c>
      <c r="I348">
        <v>7.5</v>
      </c>
      <c r="J348" t="b">
        <v>1</v>
      </c>
      <c r="K348">
        <v>28.50401280294079</v>
      </c>
      <c r="L348" t="b">
        <v>1</v>
      </c>
      <c r="M348" t="b">
        <v>1</v>
      </c>
    </row>
    <row r="349" spans="1:13">
      <c r="A349" t="s">
        <v>146</v>
      </c>
      <c r="B349" t="s">
        <v>124</v>
      </c>
      <c r="C349">
        <v>15</v>
      </c>
      <c r="D349">
        <v>7.5</v>
      </c>
      <c r="E349">
        <v>0.0016533030602667</v>
      </c>
      <c r="F349">
        <v>0</v>
      </c>
      <c r="G349">
        <v>0.0016533030602819</v>
      </c>
      <c r="H349">
        <v>0.0355604051170246</v>
      </c>
      <c r="I349">
        <v>7.5</v>
      </c>
      <c r="J349" t="b">
        <v>1</v>
      </c>
      <c r="K349">
        <v>27.11046194342686</v>
      </c>
      <c r="L349" t="b">
        <v>1</v>
      </c>
      <c r="M349" t="b">
        <v>1</v>
      </c>
    </row>
    <row r="350" spans="1:13">
      <c r="A350" t="s">
        <v>146</v>
      </c>
      <c r="B350" t="s">
        <v>125</v>
      </c>
      <c r="C350">
        <v>15</v>
      </c>
      <c r="D350">
        <v>7.5</v>
      </c>
      <c r="E350">
        <v>0.0016533030602667</v>
      </c>
      <c r="F350">
        <v>0</v>
      </c>
      <c r="G350">
        <v>0.0016533030602819</v>
      </c>
      <c r="H350">
        <v>0.0671724594587601</v>
      </c>
      <c r="I350">
        <v>0</v>
      </c>
      <c r="J350" t="b">
        <v>1</v>
      </c>
      <c r="K350">
        <v>26.94364701710015</v>
      </c>
      <c r="L350" t="b">
        <v>1</v>
      </c>
      <c r="M350" t="b">
        <v>1</v>
      </c>
    </row>
    <row r="351" spans="1:13">
      <c r="A351" t="s">
        <v>146</v>
      </c>
      <c r="B351" t="s">
        <v>126</v>
      </c>
      <c r="C351">
        <v>15</v>
      </c>
      <c r="D351">
        <v>7.5</v>
      </c>
      <c r="E351">
        <v>0.0016533030602667</v>
      </c>
      <c r="F351">
        <v>0</v>
      </c>
      <c r="G351">
        <v>0.0016533030602819</v>
      </c>
      <c r="H351">
        <v>0.1008658843350502</v>
      </c>
      <c r="I351">
        <v>7.5</v>
      </c>
      <c r="J351" t="b">
        <v>1</v>
      </c>
      <c r="K351">
        <v>26.71869239869196</v>
      </c>
      <c r="L351" t="b">
        <v>1</v>
      </c>
      <c r="M351" t="b">
        <v>1</v>
      </c>
    </row>
    <row r="352" spans="1:13">
      <c r="A352" t="s">
        <v>146</v>
      </c>
      <c r="B352" t="s">
        <v>127</v>
      </c>
      <c r="C352">
        <v>15</v>
      </c>
      <c r="D352">
        <v>7.5</v>
      </c>
      <c r="E352">
        <v>0.0016533030602667</v>
      </c>
      <c r="F352">
        <v>0</v>
      </c>
      <c r="G352">
        <v>0.0016533030602819</v>
      </c>
      <c r="H352">
        <v>0.1335018803184269</v>
      </c>
      <c r="I352">
        <v>0</v>
      </c>
      <c r="J352" t="b">
        <v>1</v>
      </c>
      <c r="K352">
        <v>26.53986355106426</v>
      </c>
      <c r="L352" t="b">
        <v>1</v>
      </c>
      <c r="M352" t="b">
        <v>1</v>
      </c>
    </row>
    <row r="353" spans="1:13">
      <c r="A353" t="s">
        <v>146</v>
      </c>
      <c r="B353" t="s">
        <v>128</v>
      </c>
      <c r="C353">
        <v>15</v>
      </c>
      <c r="D353">
        <v>7.5</v>
      </c>
      <c r="E353">
        <v>0.001288503129801</v>
      </c>
      <c r="F353">
        <v>0</v>
      </c>
      <c r="G353">
        <v>0.0016533030602819</v>
      </c>
      <c r="H353">
        <v>0.0400977937035875</v>
      </c>
      <c r="I353">
        <v>0</v>
      </c>
      <c r="J353" t="b">
        <v>1</v>
      </c>
      <c r="K353">
        <v>25.78307241190032</v>
      </c>
      <c r="L353" t="b">
        <v>1</v>
      </c>
      <c r="M353" t="b">
        <v>1</v>
      </c>
    </row>
    <row r="354" spans="1:13">
      <c r="A354" t="s">
        <v>146</v>
      </c>
      <c r="B354" t="s">
        <v>129</v>
      </c>
      <c r="C354">
        <v>15</v>
      </c>
      <c r="D354">
        <v>7.5</v>
      </c>
      <c r="E354">
        <v>0.001288503129801</v>
      </c>
      <c r="F354">
        <v>0</v>
      </c>
      <c r="G354">
        <v>0.0016533030602819</v>
      </c>
      <c r="H354">
        <v>0.0747530134870899</v>
      </c>
      <c r="I354">
        <v>7.5</v>
      </c>
      <c r="J354" t="b">
        <v>1</v>
      </c>
      <c r="K354">
        <v>25.51225567753761</v>
      </c>
      <c r="L354" t="b">
        <v>1</v>
      </c>
      <c r="M354" t="b">
        <v>1</v>
      </c>
    </row>
    <row r="355" spans="1:13">
      <c r="A355" t="s">
        <v>146</v>
      </c>
      <c r="B355" t="s">
        <v>130</v>
      </c>
      <c r="C355">
        <v>15</v>
      </c>
      <c r="D355">
        <v>7.5</v>
      </c>
      <c r="E355">
        <v>0.0052405245623808</v>
      </c>
      <c r="F355">
        <v>0</v>
      </c>
      <c r="G355">
        <v>0.0016533030602819</v>
      </c>
      <c r="H355">
        <v>0.1119388298923098</v>
      </c>
      <c r="I355">
        <v>7.5</v>
      </c>
      <c r="J355" t="b">
        <v>1</v>
      </c>
      <c r="K355">
        <v>25.32023834571717</v>
      </c>
      <c r="L355" t="b">
        <v>1</v>
      </c>
      <c r="M355" t="b">
        <v>1</v>
      </c>
    </row>
    <row r="356" spans="1:13">
      <c r="A356" t="s">
        <v>146</v>
      </c>
      <c r="B356" t="s">
        <v>131</v>
      </c>
      <c r="C356">
        <v>15</v>
      </c>
      <c r="D356">
        <v>7.5</v>
      </c>
      <c r="E356">
        <v>0.0051405945468639</v>
      </c>
      <c r="F356">
        <v>0</v>
      </c>
      <c r="G356">
        <v>0.0016533030602819</v>
      </c>
      <c r="H356">
        <v>0.1462930641398081</v>
      </c>
      <c r="I356">
        <v>7.5</v>
      </c>
      <c r="J356" t="b">
        <v>1</v>
      </c>
      <c r="K356">
        <v>25.13739716578627</v>
      </c>
      <c r="L356" t="b">
        <v>1</v>
      </c>
      <c r="M356" t="b">
        <v>1</v>
      </c>
    </row>
    <row r="357" spans="1:13">
      <c r="A357" t="s">
        <v>146</v>
      </c>
      <c r="B357" t="s">
        <v>132</v>
      </c>
      <c r="C357">
        <v>15</v>
      </c>
      <c r="D357">
        <v>7.5</v>
      </c>
      <c r="E357">
        <v>0.0169237590291242</v>
      </c>
      <c r="F357">
        <v>0</v>
      </c>
      <c r="G357">
        <v>0.0016533030602819</v>
      </c>
      <c r="H357">
        <v>0.0437049586119258</v>
      </c>
      <c r="I357">
        <v>0</v>
      </c>
      <c r="J357" t="b">
        <v>1</v>
      </c>
      <c r="K357">
        <v>24.71138943216573</v>
      </c>
      <c r="L357" t="b">
        <v>1</v>
      </c>
      <c r="M357" t="b">
        <v>0</v>
      </c>
    </row>
    <row r="358" spans="1:13">
      <c r="A358" t="s">
        <v>146</v>
      </c>
      <c r="B358" t="s">
        <v>133</v>
      </c>
      <c r="C358">
        <v>15</v>
      </c>
      <c r="D358">
        <v>7.5</v>
      </c>
      <c r="E358">
        <v>0.0351584771458157</v>
      </c>
      <c r="F358">
        <v>0</v>
      </c>
      <c r="G358">
        <v>0.0016533030602819</v>
      </c>
      <c r="H358">
        <v>0.08058866141490729</v>
      </c>
      <c r="I358">
        <v>7.5</v>
      </c>
      <c r="J358" t="b">
        <v>1</v>
      </c>
      <c r="K358">
        <v>24.41942457084778</v>
      </c>
      <c r="L358" t="b">
        <v>1</v>
      </c>
      <c r="M358" t="b">
        <v>0</v>
      </c>
    </row>
    <row r="359" spans="1:13">
      <c r="A359" t="s">
        <v>146</v>
      </c>
      <c r="B359" t="s">
        <v>134</v>
      </c>
      <c r="C359">
        <v>15</v>
      </c>
      <c r="D359">
        <v>7.5</v>
      </c>
      <c r="E359">
        <v>0.0267865275295603</v>
      </c>
      <c r="F359">
        <v>0</v>
      </c>
      <c r="G359">
        <v>0.0016533030602819</v>
      </c>
      <c r="H359">
        <v>0.1178250465375925</v>
      </c>
      <c r="I359">
        <v>0</v>
      </c>
      <c r="J359" t="b">
        <v>1</v>
      </c>
      <c r="K359">
        <v>24.23542829252554</v>
      </c>
      <c r="L359" t="b">
        <v>1</v>
      </c>
      <c r="M359" t="b">
        <v>0</v>
      </c>
    </row>
    <row r="360" spans="1:13">
      <c r="A360" t="s">
        <v>146</v>
      </c>
      <c r="B360" t="s">
        <v>135</v>
      </c>
      <c r="C360">
        <v>15</v>
      </c>
      <c r="D360">
        <v>7.5</v>
      </c>
      <c r="E360">
        <v>0.0005730864328402999</v>
      </c>
      <c r="F360">
        <v>0.0010615126664619</v>
      </c>
      <c r="G360">
        <v>0.0016533030602819</v>
      </c>
      <c r="H360">
        <v>0</v>
      </c>
      <c r="J360" t="b">
        <v>1</v>
      </c>
      <c r="K360">
        <v>17.51739813606896</v>
      </c>
      <c r="L360" t="b">
        <v>1</v>
      </c>
      <c r="M360" t="b">
        <v>1</v>
      </c>
    </row>
    <row r="361" spans="1:13">
      <c r="A361" t="s">
        <v>146</v>
      </c>
      <c r="B361" t="s">
        <v>136</v>
      </c>
      <c r="C361">
        <v>15</v>
      </c>
      <c r="D361">
        <v>7.5</v>
      </c>
      <c r="E361">
        <v>0.0001322707922039</v>
      </c>
      <c r="F361">
        <v>0.0002584668703235</v>
      </c>
      <c r="G361">
        <v>0.0016533030602819</v>
      </c>
      <c r="H361">
        <v>0</v>
      </c>
      <c r="J361" t="b">
        <v>1</v>
      </c>
      <c r="K361">
        <v>12.69018303541003</v>
      </c>
      <c r="L361" t="b">
        <v>1</v>
      </c>
      <c r="M361" t="b">
        <v>1</v>
      </c>
    </row>
    <row r="362" spans="1:13">
      <c r="A362" t="s">
        <v>146</v>
      </c>
      <c r="B362" t="s">
        <v>137</v>
      </c>
      <c r="C362">
        <v>15</v>
      </c>
      <c r="D362">
        <v>7.5</v>
      </c>
      <c r="E362">
        <v>0.0002573175173266</v>
      </c>
      <c r="F362">
        <v>0.0004956491709284</v>
      </c>
      <c r="G362">
        <v>0.0016533030602819</v>
      </c>
      <c r="H362">
        <v>0</v>
      </c>
      <c r="J362" t="b">
        <v>1</v>
      </c>
      <c r="K362">
        <v>14.31442467187551</v>
      </c>
      <c r="L362" t="b">
        <v>1</v>
      </c>
      <c r="M362" t="b">
        <v>1</v>
      </c>
    </row>
    <row r="363" spans="1:13">
      <c r="A363" t="s">
        <v>146</v>
      </c>
      <c r="B363" t="s">
        <v>138</v>
      </c>
      <c r="C363">
        <v>15</v>
      </c>
      <c r="D363">
        <v>7.5</v>
      </c>
      <c r="E363">
        <v>0.0004083439849108</v>
      </c>
      <c r="F363">
        <v>0.0007729573085522</v>
      </c>
      <c r="G363">
        <v>0.0016533030602819</v>
      </c>
      <c r="H363">
        <v>0</v>
      </c>
      <c r="J363" t="b">
        <v>1</v>
      </c>
      <c r="K363">
        <v>15.51680353188516</v>
      </c>
      <c r="L363" t="b">
        <v>1</v>
      </c>
      <c r="M363" t="b">
        <v>1</v>
      </c>
    </row>
    <row r="364" spans="1:13">
      <c r="A364" t="s">
        <v>146</v>
      </c>
      <c r="B364" t="s">
        <v>139</v>
      </c>
      <c r="C364">
        <v>15</v>
      </c>
      <c r="D364">
        <v>7.5</v>
      </c>
      <c r="E364">
        <v>0.0005730864328402999</v>
      </c>
      <c r="F364">
        <v>0.0010615126664619</v>
      </c>
      <c r="G364">
        <v>0.0016533030602819</v>
      </c>
      <c r="H364">
        <v>0</v>
      </c>
      <c r="J364" t="b">
        <v>1</v>
      </c>
      <c r="K364">
        <v>16.49157536674117</v>
      </c>
      <c r="L364" t="b">
        <v>1</v>
      </c>
      <c r="M364" t="b">
        <v>1</v>
      </c>
    </row>
    <row r="365" spans="1:13">
      <c r="A365" t="s">
        <v>147</v>
      </c>
      <c r="B365" t="s">
        <v>116</v>
      </c>
      <c r="C365">
        <v>15</v>
      </c>
      <c r="D365">
        <v>7.5</v>
      </c>
      <c r="E365">
        <v>2.189258589964469E-05</v>
      </c>
      <c r="F365">
        <v>0</v>
      </c>
      <c r="G365">
        <v>2.189258589952526E-05</v>
      </c>
      <c r="H365">
        <v>0.023704457466863</v>
      </c>
      <c r="I365">
        <v>7.5</v>
      </c>
      <c r="J365" t="b">
        <v>1</v>
      </c>
      <c r="K365">
        <v>32.66677834108975</v>
      </c>
      <c r="L365" t="b">
        <v>1</v>
      </c>
      <c r="M365" t="b">
        <v>1</v>
      </c>
    </row>
    <row r="366" spans="1:13">
      <c r="A366" t="s">
        <v>147</v>
      </c>
      <c r="B366" t="s">
        <v>117</v>
      </c>
      <c r="C366">
        <v>15</v>
      </c>
      <c r="D366">
        <v>7.5</v>
      </c>
      <c r="E366">
        <v>2.189258589964469E-05</v>
      </c>
      <c r="F366">
        <v>0</v>
      </c>
      <c r="G366">
        <v>2.189258589952526E-05</v>
      </c>
      <c r="H366">
        <v>0.0458283511114814</v>
      </c>
      <c r="I366">
        <v>0</v>
      </c>
      <c r="J366" t="b">
        <v>1</v>
      </c>
      <c r="K366">
        <v>32.62816281803538</v>
      </c>
      <c r="L366" t="b">
        <v>1</v>
      </c>
      <c r="M366" t="b">
        <v>1</v>
      </c>
    </row>
    <row r="367" spans="1:13">
      <c r="A367" t="s">
        <v>147</v>
      </c>
      <c r="B367" t="s">
        <v>118</v>
      </c>
      <c r="C367">
        <v>15</v>
      </c>
      <c r="D367">
        <v>7.5</v>
      </c>
      <c r="E367">
        <v>2.189258589964469E-05</v>
      </c>
      <c r="F367">
        <v>0</v>
      </c>
      <c r="G367">
        <v>2.189258589952526E-05</v>
      </c>
      <c r="H367">
        <v>0.0704844356756098</v>
      </c>
      <c r="I367">
        <v>7.5</v>
      </c>
      <c r="J367" t="b">
        <v>1</v>
      </c>
      <c r="K367">
        <v>32.43972153024544</v>
      </c>
      <c r="L367" t="b">
        <v>1</v>
      </c>
      <c r="M367" t="b">
        <v>1</v>
      </c>
    </row>
    <row r="368" spans="1:13">
      <c r="A368" t="s">
        <v>147</v>
      </c>
      <c r="B368" t="s">
        <v>119</v>
      </c>
      <c r="C368">
        <v>15</v>
      </c>
      <c r="D368">
        <v>7.5</v>
      </c>
      <c r="E368">
        <v>2.189258589964469E-05</v>
      </c>
      <c r="F368">
        <v>0</v>
      </c>
      <c r="G368">
        <v>2.189258589952526E-05</v>
      </c>
      <c r="H368">
        <v>0.0958901225677095</v>
      </c>
      <c r="I368">
        <v>0</v>
      </c>
      <c r="J368" t="b">
        <v>1</v>
      </c>
      <c r="K368">
        <v>32.30849558004323</v>
      </c>
      <c r="L368" t="b">
        <v>1</v>
      </c>
      <c r="M368" t="b">
        <v>1</v>
      </c>
    </row>
    <row r="369" spans="1:13">
      <c r="A369" t="s">
        <v>147</v>
      </c>
      <c r="B369" t="s">
        <v>120</v>
      </c>
      <c r="C369">
        <v>15</v>
      </c>
      <c r="D369">
        <v>7.5</v>
      </c>
      <c r="E369">
        <v>2.189258590167522E-05</v>
      </c>
      <c r="F369">
        <v>0</v>
      </c>
      <c r="G369">
        <v>2.189258589952526E-05</v>
      </c>
      <c r="H369">
        <v>0.0324109405416379</v>
      </c>
      <c r="I369">
        <v>7.5</v>
      </c>
      <c r="J369" t="b">
        <v>1</v>
      </c>
      <c r="K369">
        <v>29.49057771882053</v>
      </c>
      <c r="L369" t="b">
        <v>1</v>
      </c>
      <c r="M369" t="b">
        <v>1</v>
      </c>
    </row>
    <row r="370" spans="1:13">
      <c r="A370" t="s">
        <v>147</v>
      </c>
      <c r="B370" t="s">
        <v>121</v>
      </c>
      <c r="C370">
        <v>15</v>
      </c>
      <c r="D370">
        <v>7.5</v>
      </c>
      <c r="E370">
        <v>2.189258590167522E-05</v>
      </c>
      <c r="F370">
        <v>0</v>
      </c>
      <c r="G370">
        <v>2.189258589952526E-05</v>
      </c>
      <c r="H370">
        <v>0.0627268870280204</v>
      </c>
      <c r="I370">
        <v>7.5</v>
      </c>
      <c r="J370" t="b">
        <v>1</v>
      </c>
      <c r="K370">
        <v>29.37524052802729</v>
      </c>
      <c r="L370" t="b">
        <v>1</v>
      </c>
      <c r="M370" t="b">
        <v>1</v>
      </c>
    </row>
    <row r="371" spans="1:13">
      <c r="A371" t="s">
        <v>147</v>
      </c>
      <c r="B371" t="s">
        <v>122</v>
      </c>
      <c r="C371">
        <v>15</v>
      </c>
      <c r="D371">
        <v>7.5</v>
      </c>
      <c r="E371">
        <v>2.189258590167522E-05</v>
      </c>
      <c r="F371">
        <v>0</v>
      </c>
      <c r="G371">
        <v>2.189258589952526E-05</v>
      </c>
      <c r="H371">
        <v>0.0974040176943731</v>
      </c>
      <c r="I371">
        <v>7.5</v>
      </c>
      <c r="J371" t="b">
        <v>1</v>
      </c>
      <c r="K371">
        <v>29.22436467310732</v>
      </c>
      <c r="L371" t="b">
        <v>1</v>
      </c>
      <c r="M371" t="b">
        <v>1</v>
      </c>
    </row>
    <row r="372" spans="1:13">
      <c r="A372" t="s">
        <v>147</v>
      </c>
      <c r="B372" t="s">
        <v>123</v>
      </c>
      <c r="C372">
        <v>15</v>
      </c>
      <c r="D372">
        <v>7.5</v>
      </c>
      <c r="E372">
        <v>2.189258590167522E-05</v>
      </c>
      <c r="F372">
        <v>0</v>
      </c>
      <c r="G372">
        <v>2.189258589952526E-05</v>
      </c>
      <c r="H372">
        <v>0.1336777091610201</v>
      </c>
      <c r="I372">
        <v>0</v>
      </c>
      <c r="J372" t="b">
        <v>1</v>
      </c>
      <c r="K372">
        <v>29.09768478479364</v>
      </c>
      <c r="L372" t="b">
        <v>1</v>
      </c>
      <c r="M372" t="b">
        <v>1</v>
      </c>
    </row>
    <row r="373" spans="1:13">
      <c r="A373" t="s">
        <v>147</v>
      </c>
      <c r="B373" t="s">
        <v>124</v>
      </c>
      <c r="C373">
        <v>15</v>
      </c>
      <c r="D373">
        <v>7.5</v>
      </c>
      <c r="E373">
        <v>2.189258589355332E-05</v>
      </c>
      <c r="F373">
        <v>0</v>
      </c>
      <c r="G373">
        <v>2.189258589952526E-05</v>
      </c>
      <c r="H373">
        <v>0.0384444633045859</v>
      </c>
      <c r="I373">
        <v>7.5</v>
      </c>
      <c r="J373" t="b">
        <v>1</v>
      </c>
      <c r="K373">
        <v>27.62801211004131</v>
      </c>
      <c r="L373" t="b">
        <v>1</v>
      </c>
      <c r="M373" t="b">
        <v>1</v>
      </c>
    </row>
    <row r="374" spans="1:13">
      <c r="A374" t="s">
        <v>147</v>
      </c>
      <c r="B374" t="s">
        <v>125</v>
      </c>
      <c r="C374">
        <v>15</v>
      </c>
      <c r="D374">
        <v>7.5</v>
      </c>
      <c r="E374">
        <v>2.189258589355332E-05</v>
      </c>
      <c r="F374">
        <v>0</v>
      </c>
      <c r="G374">
        <v>2.189258589952526E-05</v>
      </c>
      <c r="H374">
        <v>0.0741684010528729</v>
      </c>
      <c r="I374">
        <v>0</v>
      </c>
      <c r="J374" t="b">
        <v>1</v>
      </c>
      <c r="K374">
        <v>27.49416055787606</v>
      </c>
      <c r="L374" t="b">
        <v>1</v>
      </c>
      <c r="M374" t="b">
        <v>1</v>
      </c>
    </row>
    <row r="375" spans="1:13">
      <c r="A375" t="s">
        <v>147</v>
      </c>
      <c r="B375" t="s">
        <v>126</v>
      </c>
      <c r="C375">
        <v>15</v>
      </c>
      <c r="D375">
        <v>7.5</v>
      </c>
      <c r="E375">
        <v>2.189258589355332E-05</v>
      </c>
      <c r="F375">
        <v>0</v>
      </c>
      <c r="G375">
        <v>2.189258589952526E-05</v>
      </c>
      <c r="H375">
        <v>0.1143469752841497</v>
      </c>
      <c r="I375">
        <v>0</v>
      </c>
      <c r="J375" t="b">
        <v>1</v>
      </c>
      <c r="K375">
        <v>27.31661497476381</v>
      </c>
      <c r="L375" t="b">
        <v>1</v>
      </c>
      <c r="M375" t="b">
        <v>1</v>
      </c>
    </row>
    <row r="376" spans="1:13">
      <c r="A376" t="s">
        <v>147</v>
      </c>
      <c r="B376" t="s">
        <v>127</v>
      </c>
      <c r="C376">
        <v>15</v>
      </c>
      <c r="D376">
        <v>7.5</v>
      </c>
      <c r="E376">
        <v>2.189258589355332E-05</v>
      </c>
      <c r="F376">
        <v>0</v>
      </c>
      <c r="G376">
        <v>2.189258589952526E-05</v>
      </c>
      <c r="H376">
        <v>0.155455783704042</v>
      </c>
      <c r="I376">
        <v>7.5</v>
      </c>
      <c r="J376" t="b">
        <v>1</v>
      </c>
      <c r="K376">
        <v>27.14909768788018</v>
      </c>
      <c r="L376" t="b">
        <v>1</v>
      </c>
      <c r="M376" t="b">
        <v>1</v>
      </c>
    </row>
    <row r="377" spans="1:13">
      <c r="A377" t="s">
        <v>147</v>
      </c>
      <c r="B377" t="s">
        <v>128</v>
      </c>
      <c r="C377">
        <v>15</v>
      </c>
      <c r="D377">
        <v>7.5</v>
      </c>
      <c r="E377">
        <v>2.189258589355332E-05</v>
      </c>
      <c r="F377">
        <v>0</v>
      </c>
      <c r="G377">
        <v>2.189258589952526E-05</v>
      </c>
      <c r="H377">
        <v>0.0430283782075662</v>
      </c>
      <c r="I377">
        <v>0</v>
      </c>
      <c r="J377" t="b">
        <v>1</v>
      </c>
      <c r="K377">
        <v>26.24171168713048</v>
      </c>
      <c r="L377" t="b">
        <v>1</v>
      </c>
      <c r="M377" t="b">
        <v>1</v>
      </c>
    </row>
    <row r="378" spans="1:13">
      <c r="A378" t="s">
        <v>147</v>
      </c>
      <c r="B378" t="s">
        <v>129</v>
      </c>
      <c r="C378">
        <v>15</v>
      </c>
      <c r="D378">
        <v>7.5</v>
      </c>
      <c r="E378">
        <v>2.189258589355332E-05</v>
      </c>
      <c r="F378">
        <v>0</v>
      </c>
      <c r="G378">
        <v>2.189258589952526E-05</v>
      </c>
      <c r="H378">
        <v>0.0825290754000889</v>
      </c>
      <c r="I378">
        <v>0</v>
      </c>
      <c r="J378" t="b">
        <v>1</v>
      </c>
      <c r="K378">
        <v>26.09714960222931</v>
      </c>
      <c r="L378" t="b">
        <v>1</v>
      </c>
      <c r="M378" t="b">
        <v>1</v>
      </c>
    </row>
    <row r="379" spans="1:13">
      <c r="A379" t="s">
        <v>147</v>
      </c>
      <c r="B379" t="s">
        <v>130</v>
      </c>
      <c r="C379">
        <v>15</v>
      </c>
      <c r="D379">
        <v>7.5</v>
      </c>
      <c r="E379">
        <v>2.189258589355332E-05</v>
      </c>
      <c r="F379">
        <v>0</v>
      </c>
      <c r="G379">
        <v>2.189258589952526E-05</v>
      </c>
      <c r="H379">
        <v>0.1265007606429549</v>
      </c>
      <c r="I379">
        <v>0</v>
      </c>
      <c r="J379" t="b">
        <v>1</v>
      </c>
      <c r="K379">
        <v>25.91640637522019</v>
      </c>
      <c r="L379" t="b">
        <v>1</v>
      </c>
      <c r="M379" t="b">
        <v>1</v>
      </c>
    </row>
    <row r="380" spans="1:13">
      <c r="A380" t="s">
        <v>147</v>
      </c>
      <c r="B380" t="s">
        <v>131</v>
      </c>
      <c r="C380">
        <v>15</v>
      </c>
      <c r="D380">
        <v>7.5</v>
      </c>
      <c r="E380">
        <v>2.189258589355332E-05</v>
      </c>
      <c r="F380">
        <v>0</v>
      </c>
      <c r="G380">
        <v>2.189258589952526E-05</v>
      </c>
      <c r="H380">
        <v>0.1709971542037749</v>
      </c>
      <c r="I380">
        <v>0</v>
      </c>
      <c r="J380" t="b">
        <v>1</v>
      </c>
      <c r="K380">
        <v>25.7583610359724</v>
      </c>
      <c r="L380" t="b">
        <v>1</v>
      </c>
      <c r="M380" t="b">
        <v>1</v>
      </c>
    </row>
    <row r="381" spans="1:13">
      <c r="A381" t="s">
        <v>147</v>
      </c>
      <c r="B381" t="s">
        <v>132</v>
      </c>
      <c r="C381">
        <v>15</v>
      </c>
      <c r="D381">
        <v>7.5</v>
      </c>
      <c r="E381">
        <v>2.189258590979711E-05</v>
      </c>
      <c r="F381">
        <v>0</v>
      </c>
      <c r="G381">
        <v>2.189258589952526E-05</v>
      </c>
      <c r="H381">
        <v>0.0470730830978709</v>
      </c>
      <c r="I381">
        <v>7.5</v>
      </c>
      <c r="J381" t="b">
        <v>1</v>
      </c>
      <c r="K381">
        <v>25.21105824446295</v>
      </c>
      <c r="L381" t="b">
        <v>1</v>
      </c>
      <c r="M381" t="b">
        <v>1</v>
      </c>
    </row>
    <row r="382" spans="1:13">
      <c r="A382" t="s">
        <v>147</v>
      </c>
      <c r="B382" t="s">
        <v>133</v>
      </c>
      <c r="C382">
        <v>15</v>
      </c>
      <c r="D382">
        <v>7.5</v>
      </c>
      <c r="E382">
        <v>2.189258590979711E-05</v>
      </c>
      <c r="F382">
        <v>0</v>
      </c>
      <c r="G382">
        <v>2.189258589952526E-05</v>
      </c>
      <c r="H382">
        <v>0.0895097338730295</v>
      </c>
      <c r="I382">
        <v>7.5</v>
      </c>
      <c r="J382" t="b">
        <v>1</v>
      </c>
      <c r="K382">
        <v>25.01471840999869</v>
      </c>
      <c r="L382" t="b">
        <v>1</v>
      </c>
      <c r="M382" t="b">
        <v>1</v>
      </c>
    </row>
    <row r="383" spans="1:13">
      <c r="A383" t="s">
        <v>147</v>
      </c>
      <c r="B383" t="s">
        <v>134</v>
      </c>
      <c r="C383">
        <v>15</v>
      </c>
      <c r="D383">
        <v>7.5</v>
      </c>
      <c r="E383">
        <v>2.189258590979711E-05</v>
      </c>
      <c r="F383">
        <v>0</v>
      </c>
      <c r="G383">
        <v>2.189258589952526E-05</v>
      </c>
      <c r="H383">
        <v>0.1364897248579666</v>
      </c>
      <c r="I383">
        <v>7.5</v>
      </c>
      <c r="J383" t="b">
        <v>1</v>
      </c>
      <c r="K383">
        <v>24.83665732430183</v>
      </c>
      <c r="L383" t="b">
        <v>1</v>
      </c>
      <c r="M383" t="b">
        <v>1</v>
      </c>
    </row>
    <row r="384" spans="1:13">
      <c r="A384" t="s">
        <v>147</v>
      </c>
      <c r="B384" t="s">
        <v>135</v>
      </c>
      <c r="C384">
        <v>15</v>
      </c>
      <c r="D384">
        <v>7.5</v>
      </c>
      <c r="E384">
        <v>2.189258590979711E-05</v>
      </c>
      <c r="F384">
        <v>0</v>
      </c>
      <c r="G384">
        <v>2.189258589952526E-05</v>
      </c>
      <c r="H384">
        <v>0.1831783800796245</v>
      </c>
      <c r="I384">
        <v>0</v>
      </c>
      <c r="J384" t="b">
        <v>1</v>
      </c>
      <c r="K384">
        <v>24.67693604292656</v>
      </c>
      <c r="L384" t="b">
        <v>1</v>
      </c>
      <c r="M384" t="b">
        <v>1</v>
      </c>
    </row>
    <row r="385" spans="1:13">
      <c r="A385" t="s">
        <v>147</v>
      </c>
      <c r="B385" t="s">
        <v>136</v>
      </c>
      <c r="C385">
        <v>15</v>
      </c>
      <c r="D385">
        <v>7.5</v>
      </c>
      <c r="E385">
        <v>2.189258590979711E-05</v>
      </c>
      <c r="F385">
        <v>0</v>
      </c>
      <c r="G385">
        <v>2.189258589952526E-05</v>
      </c>
      <c r="H385">
        <v>0.0503976848078195</v>
      </c>
      <c r="I385">
        <v>7.5</v>
      </c>
      <c r="J385" t="b">
        <v>1</v>
      </c>
      <c r="K385">
        <v>24.31756682956632</v>
      </c>
      <c r="L385" t="b">
        <v>1</v>
      </c>
      <c r="M385" t="b">
        <v>1</v>
      </c>
    </row>
    <row r="386" spans="1:13">
      <c r="A386" t="s">
        <v>147</v>
      </c>
      <c r="B386" t="s">
        <v>137</v>
      </c>
      <c r="C386">
        <v>15</v>
      </c>
      <c r="D386">
        <v>7.5</v>
      </c>
      <c r="E386">
        <v>2.189258590979711E-05</v>
      </c>
      <c r="F386">
        <v>0</v>
      </c>
      <c r="G386">
        <v>2.189258589952526E-05</v>
      </c>
      <c r="H386">
        <v>0.096079596210842</v>
      </c>
      <c r="I386">
        <v>0</v>
      </c>
      <c r="J386" t="b">
        <v>1</v>
      </c>
      <c r="K386">
        <v>24.19392117241017</v>
      </c>
      <c r="L386" t="b">
        <v>1</v>
      </c>
      <c r="M386" t="b">
        <v>1</v>
      </c>
    </row>
    <row r="387" spans="1:13">
      <c r="A387" t="s">
        <v>147</v>
      </c>
      <c r="B387" t="s">
        <v>138</v>
      </c>
      <c r="C387">
        <v>15</v>
      </c>
      <c r="D387">
        <v>7.5</v>
      </c>
      <c r="E387">
        <v>2.189258590979711E-05</v>
      </c>
      <c r="F387">
        <v>0</v>
      </c>
      <c r="G387">
        <v>2.189258589952526E-05</v>
      </c>
      <c r="H387">
        <v>0.1456557463715455</v>
      </c>
      <c r="I387">
        <v>7.5</v>
      </c>
      <c r="J387" t="b">
        <v>1</v>
      </c>
      <c r="K387">
        <v>23.99473409235143</v>
      </c>
      <c r="L387" t="b">
        <v>1</v>
      </c>
      <c r="M387" t="b">
        <v>1</v>
      </c>
    </row>
    <row r="388" spans="1:13">
      <c r="A388" t="s">
        <v>147</v>
      </c>
      <c r="B388" t="s">
        <v>139</v>
      </c>
      <c r="C388">
        <v>15</v>
      </c>
      <c r="D388">
        <v>7.5</v>
      </c>
      <c r="E388">
        <v>2.189258590979711E-05</v>
      </c>
      <c r="F388">
        <v>0</v>
      </c>
      <c r="G388">
        <v>2.189258589952526E-05</v>
      </c>
      <c r="H388">
        <v>0.1947550583893473</v>
      </c>
      <c r="I388">
        <v>0</v>
      </c>
      <c r="J388" t="b">
        <v>1</v>
      </c>
      <c r="K388">
        <v>23.85598972101874</v>
      </c>
      <c r="L388" t="b">
        <v>1</v>
      </c>
      <c r="M388" t="b">
        <v>1</v>
      </c>
    </row>
    <row r="389" spans="1:13">
      <c r="A389" t="s">
        <v>148</v>
      </c>
      <c r="B389" t="s">
        <v>116</v>
      </c>
      <c r="C389">
        <v>15</v>
      </c>
      <c r="D389">
        <v>7.5</v>
      </c>
      <c r="E389">
        <v>0.0011784257906696</v>
      </c>
      <c r="F389">
        <v>0</v>
      </c>
      <c r="G389">
        <v>0.0011784257906691</v>
      </c>
      <c r="H389">
        <v>0.0215493555694479</v>
      </c>
      <c r="I389">
        <v>0</v>
      </c>
      <c r="J389" t="b">
        <v>1</v>
      </c>
      <c r="K389">
        <v>31.08694425205556</v>
      </c>
      <c r="L389" t="b">
        <v>1</v>
      </c>
      <c r="M389" t="b">
        <v>1</v>
      </c>
    </row>
    <row r="390" spans="1:13">
      <c r="A390" t="s">
        <v>148</v>
      </c>
      <c r="B390" t="s">
        <v>117</v>
      </c>
      <c r="C390">
        <v>15</v>
      </c>
      <c r="D390">
        <v>7.5</v>
      </c>
      <c r="E390">
        <v>0.0011784257906696</v>
      </c>
      <c r="F390">
        <v>0</v>
      </c>
      <c r="G390">
        <v>0.0011784257906691</v>
      </c>
      <c r="H390">
        <v>0.0414449285748332</v>
      </c>
      <c r="I390">
        <v>7.5</v>
      </c>
      <c r="J390" t="b">
        <v>1</v>
      </c>
      <c r="K390">
        <v>31.02620324973486</v>
      </c>
      <c r="L390" t="b">
        <v>1</v>
      </c>
      <c r="M390" t="b">
        <v>1</v>
      </c>
    </row>
    <row r="391" spans="1:13">
      <c r="A391" t="s">
        <v>148</v>
      </c>
      <c r="B391" t="s">
        <v>118</v>
      </c>
      <c r="C391">
        <v>15</v>
      </c>
      <c r="D391">
        <v>7.5</v>
      </c>
      <c r="E391">
        <v>0.0011784257906694</v>
      </c>
      <c r="F391">
        <v>0</v>
      </c>
      <c r="G391">
        <v>0.0011784257906691</v>
      </c>
      <c r="H391">
        <v>0.0636906540765949</v>
      </c>
      <c r="I391">
        <v>0</v>
      </c>
      <c r="J391" t="b">
        <v>1</v>
      </c>
      <c r="K391">
        <v>30.88707596281495</v>
      </c>
      <c r="L391" t="b">
        <v>1</v>
      </c>
      <c r="M391" t="b">
        <v>1</v>
      </c>
    </row>
    <row r="392" spans="1:13">
      <c r="A392" t="s">
        <v>148</v>
      </c>
      <c r="B392" t="s">
        <v>119</v>
      </c>
      <c r="C392">
        <v>15</v>
      </c>
      <c r="D392">
        <v>7.5</v>
      </c>
      <c r="E392">
        <v>0.0011784257906696</v>
      </c>
      <c r="F392">
        <v>0</v>
      </c>
      <c r="G392">
        <v>0.0011784257906691</v>
      </c>
      <c r="H392">
        <v>0.0864945073887497</v>
      </c>
      <c r="I392">
        <v>0</v>
      </c>
      <c r="J392" t="b">
        <v>1</v>
      </c>
      <c r="K392">
        <v>30.82196303696705</v>
      </c>
      <c r="L392" t="b">
        <v>1</v>
      </c>
      <c r="M392" t="b">
        <v>1</v>
      </c>
    </row>
    <row r="393" spans="1:13">
      <c r="A393" t="s">
        <v>148</v>
      </c>
      <c r="B393" t="s">
        <v>120</v>
      </c>
      <c r="C393">
        <v>15</v>
      </c>
      <c r="D393">
        <v>7.5</v>
      </c>
      <c r="E393">
        <v>0.0011784257906665</v>
      </c>
      <c r="F393">
        <v>0</v>
      </c>
      <c r="G393">
        <v>0.0011784257906691</v>
      </c>
      <c r="H393">
        <v>0.0294931706149554</v>
      </c>
      <c r="I393">
        <v>0</v>
      </c>
      <c r="J393" t="b">
        <v>1</v>
      </c>
      <c r="K393">
        <v>27.91680031186701</v>
      </c>
      <c r="L393" t="b">
        <v>1</v>
      </c>
      <c r="M393" t="b">
        <v>1</v>
      </c>
    </row>
    <row r="394" spans="1:13">
      <c r="A394" t="s">
        <v>148</v>
      </c>
      <c r="B394" t="s">
        <v>121</v>
      </c>
      <c r="C394">
        <v>15</v>
      </c>
      <c r="D394">
        <v>7.5</v>
      </c>
      <c r="E394">
        <v>0.0011784257906665</v>
      </c>
      <c r="F394">
        <v>0</v>
      </c>
      <c r="G394">
        <v>0.0011784257906691</v>
      </c>
      <c r="H394">
        <v>0.0564553392612197</v>
      </c>
      <c r="I394">
        <v>0</v>
      </c>
      <c r="J394" t="b">
        <v>1</v>
      </c>
      <c r="K394">
        <v>27.8077284755426</v>
      </c>
      <c r="L394" t="b">
        <v>1</v>
      </c>
      <c r="M394" t="b">
        <v>1</v>
      </c>
    </row>
    <row r="395" spans="1:13">
      <c r="A395" t="s">
        <v>148</v>
      </c>
      <c r="B395" t="s">
        <v>122</v>
      </c>
      <c r="C395">
        <v>15</v>
      </c>
      <c r="D395">
        <v>7.5</v>
      </c>
      <c r="E395">
        <v>0.0011784257906665</v>
      </c>
      <c r="F395">
        <v>0</v>
      </c>
      <c r="G395">
        <v>0.0011784257906691</v>
      </c>
      <c r="H395">
        <v>0.0876904815636407</v>
      </c>
      <c r="I395">
        <v>0</v>
      </c>
      <c r="J395" t="b">
        <v>1</v>
      </c>
      <c r="K395">
        <v>27.73102358750776</v>
      </c>
      <c r="L395" t="b">
        <v>1</v>
      </c>
      <c r="M395" t="b">
        <v>1</v>
      </c>
    </row>
    <row r="396" spans="1:13">
      <c r="A396" t="s">
        <v>148</v>
      </c>
      <c r="B396" t="s">
        <v>123</v>
      </c>
      <c r="C396">
        <v>15</v>
      </c>
      <c r="D396">
        <v>7.5</v>
      </c>
      <c r="E396">
        <v>0.0011784257906665</v>
      </c>
      <c r="F396">
        <v>0</v>
      </c>
      <c r="G396">
        <v>0.0011784257906691</v>
      </c>
      <c r="H396">
        <v>0.1193720009958951</v>
      </c>
      <c r="I396">
        <v>7.5</v>
      </c>
      <c r="J396" t="b">
        <v>1</v>
      </c>
      <c r="K396">
        <v>27.58561088737394</v>
      </c>
      <c r="L396" t="b">
        <v>1</v>
      </c>
      <c r="M396" t="b">
        <v>1</v>
      </c>
    </row>
    <row r="397" spans="1:13">
      <c r="A397" t="s">
        <v>148</v>
      </c>
      <c r="B397" t="s">
        <v>124</v>
      </c>
      <c r="C397">
        <v>15</v>
      </c>
      <c r="D397">
        <v>7.5</v>
      </c>
      <c r="E397">
        <v>0.0011784257906726</v>
      </c>
      <c r="F397">
        <v>0</v>
      </c>
      <c r="G397">
        <v>0.0011784257906691</v>
      </c>
      <c r="H397">
        <v>0.0347818271002893</v>
      </c>
      <c r="I397">
        <v>7.5</v>
      </c>
      <c r="J397" t="b">
        <v>1</v>
      </c>
      <c r="K397">
        <v>26.03505168457332</v>
      </c>
      <c r="L397" t="b">
        <v>1</v>
      </c>
      <c r="M397" t="b">
        <v>1</v>
      </c>
    </row>
    <row r="398" spans="1:13">
      <c r="A398" t="s">
        <v>148</v>
      </c>
      <c r="B398" t="s">
        <v>125</v>
      </c>
      <c r="C398">
        <v>15</v>
      </c>
      <c r="D398">
        <v>7.5</v>
      </c>
      <c r="E398">
        <v>0.0011784257906726</v>
      </c>
      <c r="F398">
        <v>0</v>
      </c>
      <c r="G398">
        <v>0.0011784257906691</v>
      </c>
      <c r="H398">
        <v>0.066502442731462</v>
      </c>
      <c r="I398">
        <v>7.5</v>
      </c>
      <c r="J398" t="b">
        <v>1</v>
      </c>
      <c r="K398">
        <v>25.94145464197055</v>
      </c>
      <c r="L398" t="b">
        <v>1</v>
      </c>
      <c r="M398" t="b">
        <v>1</v>
      </c>
    </row>
    <row r="399" spans="1:13">
      <c r="A399" t="s">
        <v>148</v>
      </c>
      <c r="B399" t="s">
        <v>126</v>
      </c>
      <c r="C399">
        <v>15</v>
      </c>
      <c r="D399">
        <v>7.5</v>
      </c>
      <c r="E399">
        <v>0.0011784257906726</v>
      </c>
      <c r="F399">
        <v>0</v>
      </c>
      <c r="G399">
        <v>0.0011784257906691</v>
      </c>
      <c r="H399">
        <v>0.1012728614581419</v>
      </c>
      <c r="I399">
        <v>7.5</v>
      </c>
      <c r="J399" t="b">
        <v>1</v>
      </c>
      <c r="K399">
        <v>25.75005503573919</v>
      </c>
      <c r="L399" t="b">
        <v>1</v>
      </c>
      <c r="M399" t="b">
        <v>1</v>
      </c>
    </row>
    <row r="400" spans="1:13">
      <c r="A400" t="s">
        <v>148</v>
      </c>
      <c r="B400" t="s">
        <v>127</v>
      </c>
      <c r="C400">
        <v>15</v>
      </c>
      <c r="D400">
        <v>7.5</v>
      </c>
      <c r="E400">
        <v>0.0011784257906726</v>
      </c>
      <c r="F400">
        <v>0</v>
      </c>
      <c r="G400">
        <v>0.0011784257906691</v>
      </c>
      <c r="H400">
        <v>0.1381485463237481</v>
      </c>
      <c r="I400">
        <v>7.5</v>
      </c>
      <c r="J400" t="b">
        <v>1</v>
      </c>
      <c r="K400">
        <v>25.66679403937613</v>
      </c>
      <c r="L400" t="b">
        <v>1</v>
      </c>
      <c r="M400" t="b">
        <v>1</v>
      </c>
    </row>
    <row r="401" spans="1:13">
      <c r="A401" t="s">
        <v>148</v>
      </c>
      <c r="B401" t="s">
        <v>128</v>
      </c>
      <c r="C401">
        <v>15</v>
      </c>
      <c r="D401">
        <v>7.5</v>
      </c>
      <c r="E401">
        <v>0.0011784257906726</v>
      </c>
      <c r="F401">
        <v>0</v>
      </c>
      <c r="G401">
        <v>0.0011784257906691</v>
      </c>
      <c r="H401">
        <v>0.0390530343067894</v>
      </c>
      <c r="I401">
        <v>0</v>
      </c>
      <c r="J401" t="b">
        <v>1</v>
      </c>
      <c r="K401">
        <v>24.75290275508257</v>
      </c>
      <c r="L401" t="b">
        <v>1</v>
      </c>
      <c r="M401" t="b">
        <v>1</v>
      </c>
    </row>
    <row r="402" spans="1:13">
      <c r="A402" t="s">
        <v>148</v>
      </c>
      <c r="B402" t="s">
        <v>129</v>
      </c>
      <c r="C402">
        <v>15</v>
      </c>
      <c r="D402">
        <v>7.5</v>
      </c>
      <c r="E402">
        <v>0.0012862319990934</v>
      </c>
      <c r="F402">
        <v>0</v>
      </c>
      <c r="G402">
        <v>0.0011784257906691</v>
      </c>
      <c r="H402">
        <v>0.0735118362385947</v>
      </c>
      <c r="I402">
        <v>0</v>
      </c>
      <c r="J402" t="b">
        <v>1</v>
      </c>
      <c r="K402">
        <v>24.53853492928815</v>
      </c>
      <c r="L402" t="b">
        <v>1</v>
      </c>
      <c r="M402" t="b">
        <v>1</v>
      </c>
    </row>
    <row r="403" spans="1:13">
      <c r="A403" t="s">
        <v>148</v>
      </c>
      <c r="B403" t="s">
        <v>130</v>
      </c>
      <c r="C403">
        <v>15</v>
      </c>
      <c r="D403">
        <v>7.5</v>
      </c>
      <c r="E403">
        <v>0.0012556732333081</v>
      </c>
      <c r="F403">
        <v>0</v>
      </c>
      <c r="G403">
        <v>0.0011784257906691</v>
      </c>
      <c r="H403">
        <v>0.1120121423379885</v>
      </c>
      <c r="I403">
        <v>7.5</v>
      </c>
      <c r="J403" t="b">
        <v>1</v>
      </c>
      <c r="K403">
        <v>24.40549312631859</v>
      </c>
      <c r="L403" t="b">
        <v>1</v>
      </c>
      <c r="M403" t="b">
        <v>1</v>
      </c>
    </row>
    <row r="404" spans="1:13">
      <c r="A404" t="s">
        <v>148</v>
      </c>
      <c r="B404" t="s">
        <v>131</v>
      </c>
      <c r="C404">
        <v>15</v>
      </c>
      <c r="D404">
        <v>7.5</v>
      </c>
      <c r="E404">
        <v>0.0013287914605595</v>
      </c>
      <c r="F404">
        <v>0</v>
      </c>
      <c r="G404">
        <v>0.0011784257906691</v>
      </c>
      <c r="H404">
        <v>0.1503670325238033</v>
      </c>
      <c r="I404">
        <v>7.5</v>
      </c>
      <c r="J404" t="b">
        <v>1</v>
      </c>
      <c r="K404">
        <v>24.27955922997072</v>
      </c>
      <c r="L404" t="b">
        <v>1</v>
      </c>
      <c r="M404" t="b">
        <v>1</v>
      </c>
    </row>
    <row r="405" spans="1:13">
      <c r="A405" t="s">
        <v>148</v>
      </c>
      <c r="B405" t="s">
        <v>132</v>
      </c>
      <c r="C405">
        <v>15</v>
      </c>
      <c r="D405">
        <v>7.5</v>
      </c>
      <c r="E405">
        <v>0.0014504748990364</v>
      </c>
      <c r="F405">
        <v>0</v>
      </c>
      <c r="G405">
        <v>0.0011784257906691</v>
      </c>
      <c r="H405">
        <v>0.0422516953664739</v>
      </c>
      <c r="I405">
        <v>7.5</v>
      </c>
      <c r="J405" t="b">
        <v>1</v>
      </c>
      <c r="K405">
        <v>23.65586078842483</v>
      </c>
      <c r="L405" t="b">
        <v>1</v>
      </c>
      <c r="M405" t="b">
        <v>1</v>
      </c>
    </row>
    <row r="406" spans="1:13">
      <c r="A406" t="s">
        <v>148</v>
      </c>
      <c r="B406" t="s">
        <v>133</v>
      </c>
      <c r="C406">
        <v>15</v>
      </c>
      <c r="D406">
        <v>7.5</v>
      </c>
      <c r="E406">
        <v>0.0027098683887806</v>
      </c>
      <c r="F406">
        <v>0</v>
      </c>
      <c r="G406">
        <v>0.0011784257906691</v>
      </c>
      <c r="H406">
        <v>0.0792569094491568</v>
      </c>
      <c r="I406">
        <v>0</v>
      </c>
      <c r="J406" t="b">
        <v>1</v>
      </c>
      <c r="K406">
        <v>23.46032879553022</v>
      </c>
      <c r="L406" t="b">
        <v>1</v>
      </c>
      <c r="M406" t="b">
        <v>1</v>
      </c>
    </row>
    <row r="407" spans="1:13">
      <c r="A407" t="s">
        <v>148</v>
      </c>
      <c r="B407" t="s">
        <v>134</v>
      </c>
      <c r="C407">
        <v>15</v>
      </c>
      <c r="D407">
        <v>7.5</v>
      </c>
      <c r="E407">
        <v>0.0027787073607842</v>
      </c>
      <c r="F407">
        <v>0</v>
      </c>
      <c r="G407">
        <v>0.0011784257906691</v>
      </c>
      <c r="H407">
        <v>0.1200008683804583</v>
      </c>
      <c r="I407">
        <v>0</v>
      </c>
      <c r="J407" t="b">
        <v>1</v>
      </c>
      <c r="K407">
        <v>23.3439437627446</v>
      </c>
      <c r="L407" t="b">
        <v>1</v>
      </c>
      <c r="M407" t="b">
        <v>1</v>
      </c>
    </row>
    <row r="408" spans="1:13">
      <c r="A408" t="s">
        <v>148</v>
      </c>
      <c r="B408" t="s">
        <v>135</v>
      </c>
      <c r="C408">
        <v>15</v>
      </c>
      <c r="D408">
        <v>7.5</v>
      </c>
      <c r="E408">
        <v>0.0027830516652644</v>
      </c>
      <c r="F408">
        <v>0</v>
      </c>
      <c r="G408">
        <v>0.0011784257906691</v>
      </c>
      <c r="H408">
        <v>0.1609319359744461</v>
      </c>
      <c r="I408">
        <v>0</v>
      </c>
      <c r="J408" t="b">
        <v>1</v>
      </c>
      <c r="K408">
        <v>23.26876720052447</v>
      </c>
      <c r="L408" t="b">
        <v>1</v>
      </c>
      <c r="M408" t="b">
        <v>1</v>
      </c>
    </row>
    <row r="409" spans="1:13">
      <c r="A409" t="s">
        <v>148</v>
      </c>
      <c r="B409" t="s">
        <v>136</v>
      </c>
      <c r="C409">
        <v>15</v>
      </c>
      <c r="D409">
        <v>7.5</v>
      </c>
      <c r="E409">
        <v>0.0029384627457078</v>
      </c>
      <c r="F409">
        <v>0</v>
      </c>
      <c r="G409">
        <v>0.0011784257906691</v>
      </c>
      <c r="H409">
        <v>0.045282273091658</v>
      </c>
      <c r="I409">
        <v>0</v>
      </c>
      <c r="J409" t="b">
        <v>1</v>
      </c>
      <c r="K409">
        <v>22.83122925535679</v>
      </c>
      <c r="L409" t="b">
        <v>1</v>
      </c>
      <c r="M409" t="b">
        <v>1</v>
      </c>
    </row>
    <row r="410" spans="1:13">
      <c r="A410" t="s">
        <v>148</v>
      </c>
      <c r="B410" t="s">
        <v>137</v>
      </c>
      <c r="C410">
        <v>15</v>
      </c>
      <c r="D410">
        <v>7.5</v>
      </c>
      <c r="E410">
        <v>0.0029738735680553</v>
      </c>
      <c r="F410">
        <v>0</v>
      </c>
      <c r="G410">
        <v>0.0011784257906691</v>
      </c>
      <c r="H410">
        <v>0.08437597099521089</v>
      </c>
      <c r="I410">
        <v>0</v>
      </c>
      <c r="J410" t="b">
        <v>1</v>
      </c>
      <c r="K410">
        <v>22.62685409282881</v>
      </c>
      <c r="L410" t="b">
        <v>1</v>
      </c>
      <c r="M410" t="b">
        <v>1</v>
      </c>
    </row>
    <row r="411" spans="1:13">
      <c r="A411" t="s">
        <v>148</v>
      </c>
      <c r="B411" t="s">
        <v>138</v>
      </c>
      <c r="C411">
        <v>15</v>
      </c>
      <c r="D411">
        <v>7.5</v>
      </c>
      <c r="E411">
        <v>0.0030551278946449</v>
      </c>
      <c r="F411">
        <v>0</v>
      </c>
      <c r="G411">
        <v>0.0011784257906691</v>
      </c>
      <c r="H411">
        <v>0.1257863363729257</v>
      </c>
      <c r="I411">
        <v>0</v>
      </c>
      <c r="J411" t="b">
        <v>1</v>
      </c>
      <c r="K411">
        <v>22.43635085979392</v>
      </c>
      <c r="L411" t="b">
        <v>1</v>
      </c>
      <c r="M411" t="b">
        <v>1</v>
      </c>
    </row>
    <row r="412" spans="1:13">
      <c r="A412" t="s">
        <v>148</v>
      </c>
      <c r="B412" t="s">
        <v>139</v>
      </c>
      <c r="C412">
        <v>15</v>
      </c>
      <c r="D412">
        <v>7.5</v>
      </c>
      <c r="E412">
        <v>0.0012417041896589</v>
      </c>
      <c r="F412">
        <v>0</v>
      </c>
      <c r="G412">
        <v>0.0011784257906691</v>
      </c>
      <c r="H412">
        <v>0.1679826038036083</v>
      </c>
      <c r="I412">
        <v>7.5</v>
      </c>
      <c r="J412" t="b">
        <v>1</v>
      </c>
      <c r="K412">
        <v>22.39780238438058</v>
      </c>
      <c r="L412" t="b">
        <v>1</v>
      </c>
      <c r="M412" t="b">
        <v>1</v>
      </c>
    </row>
    <row r="413" spans="1:13">
      <c r="A413" t="s">
        <v>149</v>
      </c>
      <c r="B413" t="s">
        <v>116</v>
      </c>
      <c r="C413">
        <v>15</v>
      </c>
      <c r="D413">
        <v>7.5</v>
      </c>
      <c r="E413">
        <v>0.0015533470997681</v>
      </c>
      <c r="F413">
        <v>0</v>
      </c>
      <c r="G413">
        <v>0.0015533470997679</v>
      </c>
      <c r="H413">
        <v>0.0245298282789008</v>
      </c>
      <c r="I413">
        <v>7.5</v>
      </c>
      <c r="J413" t="b">
        <v>1</v>
      </c>
      <c r="K413">
        <v>33.57336199375709</v>
      </c>
      <c r="L413" t="b">
        <v>1</v>
      </c>
      <c r="M413" t="b">
        <v>1</v>
      </c>
    </row>
    <row r="414" spans="1:13">
      <c r="A414" t="s">
        <v>149</v>
      </c>
      <c r="B414" t="s">
        <v>117</v>
      </c>
      <c r="C414">
        <v>15</v>
      </c>
      <c r="D414">
        <v>7.5</v>
      </c>
      <c r="E414">
        <v>0.0015533470997681</v>
      </c>
      <c r="F414">
        <v>0</v>
      </c>
      <c r="G414">
        <v>0.0015533470997679</v>
      </c>
      <c r="H414">
        <v>0.0473941217833839</v>
      </c>
      <c r="I414">
        <v>7.5</v>
      </c>
      <c r="J414" t="b">
        <v>1</v>
      </c>
      <c r="K414">
        <v>33.49962029597862</v>
      </c>
      <c r="L414" t="b">
        <v>1</v>
      </c>
      <c r="M414" t="b">
        <v>1</v>
      </c>
    </row>
    <row r="415" spans="1:13">
      <c r="A415" t="s">
        <v>149</v>
      </c>
      <c r="B415" t="s">
        <v>118</v>
      </c>
      <c r="C415">
        <v>15</v>
      </c>
      <c r="D415">
        <v>7.5</v>
      </c>
      <c r="E415">
        <v>0.0015533470997683</v>
      </c>
      <c r="F415">
        <v>0</v>
      </c>
      <c r="G415">
        <v>0.0015533470997679</v>
      </c>
      <c r="H415">
        <v>0.0733144797770819</v>
      </c>
      <c r="I415">
        <v>0</v>
      </c>
      <c r="J415" t="b">
        <v>1</v>
      </c>
      <c r="K415">
        <v>33.37521041876244</v>
      </c>
      <c r="L415" t="b">
        <v>1</v>
      </c>
      <c r="M415" t="b">
        <v>1</v>
      </c>
    </row>
    <row r="416" spans="1:13">
      <c r="A416" t="s">
        <v>149</v>
      </c>
      <c r="B416" t="s">
        <v>119</v>
      </c>
      <c r="C416">
        <v>15</v>
      </c>
      <c r="D416">
        <v>7.5</v>
      </c>
      <c r="E416">
        <v>0.0015533470997681</v>
      </c>
      <c r="F416">
        <v>0</v>
      </c>
      <c r="G416">
        <v>0.0015533470997679</v>
      </c>
      <c r="H416">
        <v>0.1005935377834248</v>
      </c>
      <c r="I416">
        <v>0</v>
      </c>
      <c r="J416" t="b">
        <v>1</v>
      </c>
      <c r="K416">
        <v>33.29130877387954</v>
      </c>
      <c r="L416" t="b">
        <v>1</v>
      </c>
      <c r="M416" t="b">
        <v>1</v>
      </c>
    </row>
    <row r="417" spans="1:13">
      <c r="A417" t="s">
        <v>149</v>
      </c>
      <c r="B417" t="s">
        <v>120</v>
      </c>
      <c r="C417">
        <v>15</v>
      </c>
      <c r="D417">
        <v>7.5</v>
      </c>
      <c r="E417">
        <v>0.0015533470997654</v>
      </c>
      <c r="F417">
        <v>0</v>
      </c>
      <c r="G417">
        <v>0.0015533470997679</v>
      </c>
      <c r="H417">
        <v>0.0338420129551764</v>
      </c>
      <c r="I417">
        <v>7.5</v>
      </c>
      <c r="J417" t="b">
        <v>1</v>
      </c>
      <c r="K417">
        <v>30.38455625379584</v>
      </c>
      <c r="L417" t="b">
        <v>1</v>
      </c>
      <c r="M417" t="b">
        <v>1</v>
      </c>
    </row>
    <row r="418" spans="1:13">
      <c r="A418" t="s">
        <v>149</v>
      </c>
      <c r="B418" t="s">
        <v>121</v>
      </c>
      <c r="C418">
        <v>15</v>
      </c>
      <c r="D418">
        <v>7.5</v>
      </c>
      <c r="E418">
        <v>0.0015533470997654</v>
      </c>
      <c r="F418">
        <v>0</v>
      </c>
      <c r="G418">
        <v>0.0015533470997679</v>
      </c>
      <c r="H418">
        <v>0.06601747372462791</v>
      </c>
      <c r="I418">
        <v>0</v>
      </c>
      <c r="J418" t="b">
        <v>1</v>
      </c>
      <c r="K418">
        <v>30.31231874374214</v>
      </c>
      <c r="L418" t="b">
        <v>1</v>
      </c>
      <c r="M418" t="b">
        <v>1</v>
      </c>
    </row>
    <row r="419" spans="1:13">
      <c r="A419" t="s">
        <v>149</v>
      </c>
      <c r="B419" t="s">
        <v>122</v>
      </c>
      <c r="C419">
        <v>15</v>
      </c>
      <c r="D419">
        <v>7.5</v>
      </c>
      <c r="E419">
        <v>0.0015533470997654</v>
      </c>
      <c r="F419">
        <v>0</v>
      </c>
      <c r="G419">
        <v>0.0015533470997679</v>
      </c>
      <c r="H419">
        <v>0.1035641544996792</v>
      </c>
      <c r="I419">
        <v>7.5</v>
      </c>
      <c r="J419" t="b">
        <v>1</v>
      </c>
      <c r="K419">
        <v>30.22525533084703</v>
      </c>
      <c r="L419" t="b">
        <v>1</v>
      </c>
      <c r="M419" t="b">
        <v>1</v>
      </c>
    </row>
    <row r="420" spans="1:13">
      <c r="A420" t="s">
        <v>149</v>
      </c>
      <c r="B420" t="s">
        <v>123</v>
      </c>
      <c r="C420">
        <v>15</v>
      </c>
      <c r="D420">
        <v>7.5</v>
      </c>
      <c r="E420">
        <v>0.0015533470997654</v>
      </c>
      <c r="F420">
        <v>0</v>
      </c>
      <c r="G420">
        <v>0.0015533470997679</v>
      </c>
      <c r="H420">
        <v>0.1420587800313342</v>
      </c>
      <c r="I420">
        <v>7.5</v>
      </c>
      <c r="J420" t="b">
        <v>1</v>
      </c>
      <c r="K420">
        <v>30.01849938828514</v>
      </c>
      <c r="L420" t="b">
        <v>1</v>
      </c>
      <c r="M420" t="b">
        <v>1</v>
      </c>
    </row>
    <row r="421" spans="1:13">
      <c r="A421" t="s">
        <v>149</v>
      </c>
      <c r="B421" t="s">
        <v>124</v>
      </c>
      <c r="C421">
        <v>15</v>
      </c>
      <c r="D421">
        <v>7.5</v>
      </c>
      <c r="E421">
        <v>0.0015533470997654</v>
      </c>
      <c r="F421">
        <v>0</v>
      </c>
      <c r="G421">
        <v>0.0015533470997679</v>
      </c>
      <c r="H421">
        <v>0.0403929185710012</v>
      </c>
      <c r="I421">
        <v>0</v>
      </c>
      <c r="J421" t="b">
        <v>1</v>
      </c>
      <c r="K421">
        <v>28.50956165711693</v>
      </c>
      <c r="L421" t="b">
        <v>1</v>
      </c>
      <c r="M421" t="b">
        <v>1</v>
      </c>
    </row>
    <row r="422" spans="1:13">
      <c r="A422" t="s">
        <v>149</v>
      </c>
      <c r="B422" t="s">
        <v>125</v>
      </c>
      <c r="C422">
        <v>15</v>
      </c>
      <c r="D422">
        <v>7.5</v>
      </c>
      <c r="E422">
        <v>0.0015533470997654</v>
      </c>
      <c r="F422">
        <v>0</v>
      </c>
      <c r="G422">
        <v>0.0015533470997679</v>
      </c>
      <c r="H422">
        <v>0.0787108299036845</v>
      </c>
      <c r="I422">
        <v>0</v>
      </c>
      <c r="J422" t="b">
        <v>1</v>
      </c>
      <c r="K422">
        <v>28.41520041063319</v>
      </c>
      <c r="L422" t="b">
        <v>1</v>
      </c>
      <c r="M422" t="b">
        <v>1</v>
      </c>
    </row>
    <row r="423" spans="1:13">
      <c r="A423" t="s">
        <v>149</v>
      </c>
      <c r="B423" t="s">
        <v>126</v>
      </c>
      <c r="C423">
        <v>15</v>
      </c>
      <c r="D423">
        <v>7.5</v>
      </c>
      <c r="E423">
        <v>0.0015533470997654</v>
      </c>
      <c r="F423">
        <v>0</v>
      </c>
      <c r="G423">
        <v>0.0015533470997679</v>
      </c>
      <c r="H423">
        <v>0.1222021616864594</v>
      </c>
      <c r="I423">
        <v>0</v>
      </c>
      <c r="J423" t="b">
        <v>1</v>
      </c>
      <c r="K423">
        <v>28.239365118732</v>
      </c>
      <c r="L423" t="b">
        <v>1</v>
      </c>
      <c r="M423" t="b">
        <v>1</v>
      </c>
    </row>
    <row r="424" spans="1:13">
      <c r="A424" t="s">
        <v>149</v>
      </c>
      <c r="B424" t="s">
        <v>127</v>
      </c>
      <c r="C424">
        <v>15</v>
      </c>
      <c r="D424">
        <v>7.5</v>
      </c>
      <c r="E424">
        <v>0.0015533470997654</v>
      </c>
      <c r="F424">
        <v>0</v>
      </c>
      <c r="G424">
        <v>0.0015533470997679</v>
      </c>
      <c r="H424">
        <v>0.1688340407467876</v>
      </c>
      <c r="I424">
        <v>0</v>
      </c>
      <c r="J424" t="b">
        <v>1</v>
      </c>
      <c r="K424">
        <v>28.12913831681882</v>
      </c>
      <c r="L424" t="b">
        <v>1</v>
      </c>
      <c r="M424" t="b">
        <v>1</v>
      </c>
    </row>
    <row r="425" spans="1:13">
      <c r="A425" t="s">
        <v>149</v>
      </c>
      <c r="B425" t="s">
        <v>128</v>
      </c>
      <c r="C425">
        <v>15</v>
      </c>
      <c r="D425">
        <v>7.5</v>
      </c>
      <c r="E425">
        <v>0.0015533470997654</v>
      </c>
      <c r="F425">
        <v>0</v>
      </c>
      <c r="G425">
        <v>0.0015533470997679</v>
      </c>
      <c r="H425">
        <v>0.0457184337281546</v>
      </c>
      <c r="I425">
        <v>0</v>
      </c>
      <c r="J425" t="b">
        <v>1</v>
      </c>
      <c r="K425">
        <v>27.18525596569208</v>
      </c>
      <c r="L425" t="b">
        <v>1</v>
      </c>
      <c r="M425" t="b">
        <v>1</v>
      </c>
    </row>
    <row r="426" spans="1:13">
      <c r="A426" t="s">
        <v>149</v>
      </c>
      <c r="B426" t="s">
        <v>129</v>
      </c>
      <c r="C426">
        <v>15</v>
      </c>
      <c r="D426">
        <v>7.5</v>
      </c>
      <c r="E426">
        <v>0.0015533470997654</v>
      </c>
      <c r="F426">
        <v>0</v>
      </c>
      <c r="G426">
        <v>0.0015533470997679</v>
      </c>
      <c r="H426">
        <v>0.0884136925019447</v>
      </c>
      <c r="I426">
        <v>0</v>
      </c>
      <c r="J426" t="b">
        <v>1</v>
      </c>
      <c r="K426">
        <v>27.02823341481349</v>
      </c>
      <c r="L426" t="b">
        <v>1</v>
      </c>
      <c r="M426" t="b">
        <v>1</v>
      </c>
    </row>
    <row r="427" spans="1:13">
      <c r="A427" t="s">
        <v>149</v>
      </c>
      <c r="B427" t="s">
        <v>130</v>
      </c>
      <c r="C427">
        <v>15</v>
      </c>
      <c r="D427">
        <v>7.5</v>
      </c>
      <c r="E427">
        <v>0.0015533470997654</v>
      </c>
      <c r="F427">
        <v>0</v>
      </c>
      <c r="G427">
        <v>0.0015533470997679</v>
      </c>
      <c r="H427">
        <v>0.1369391817663086</v>
      </c>
      <c r="I427">
        <v>0</v>
      </c>
      <c r="J427" t="b">
        <v>1</v>
      </c>
      <c r="K427">
        <v>26.84605627310219</v>
      </c>
      <c r="L427" t="b">
        <v>1</v>
      </c>
      <c r="M427" t="b">
        <v>1</v>
      </c>
    </row>
    <row r="428" spans="1:13">
      <c r="A428" t="s">
        <v>149</v>
      </c>
      <c r="B428" t="s">
        <v>131</v>
      </c>
      <c r="C428">
        <v>15</v>
      </c>
      <c r="D428">
        <v>7.5</v>
      </c>
      <c r="E428">
        <v>0.0015533470997654</v>
      </c>
      <c r="F428">
        <v>0</v>
      </c>
      <c r="G428">
        <v>0.0015533470997679</v>
      </c>
      <c r="H428">
        <v>0.1889766725890922</v>
      </c>
      <c r="I428">
        <v>7.5</v>
      </c>
      <c r="J428" t="b">
        <v>1</v>
      </c>
      <c r="K428">
        <v>26.75837411320146</v>
      </c>
      <c r="L428" t="b">
        <v>1</v>
      </c>
      <c r="M428" t="b">
        <v>1</v>
      </c>
    </row>
    <row r="429" spans="1:13">
      <c r="A429" t="s">
        <v>149</v>
      </c>
      <c r="B429" t="s">
        <v>132</v>
      </c>
      <c r="C429">
        <v>15</v>
      </c>
      <c r="D429">
        <v>7.5</v>
      </c>
      <c r="E429">
        <v>0.0015533470997708</v>
      </c>
      <c r="F429">
        <v>0</v>
      </c>
      <c r="G429">
        <v>0.0015533470997679</v>
      </c>
      <c r="H429">
        <v>0.0503442038099137</v>
      </c>
      <c r="I429">
        <v>0</v>
      </c>
      <c r="J429" t="b">
        <v>1</v>
      </c>
      <c r="K429">
        <v>26.1784381637753</v>
      </c>
      <c r="L429" t="b">
        <v>1</v>
      </c>
      <c r="M429" t="b">
        <v>1</v>
      </c>
    </row>
    <row r="430" spans="1:13">
      <c r="A430" t="s">
        <v>149</v>
      </c>
      <c r="B430" t="s">
        <v>133</v>
      </c>
      <c r="C430">
        <v>15</v>
      </c>
      <c r="D430">
        <v>7.5</v>
      </c>
      <c r="E430">
        <v>0.0015533470997708</v>
      </c>
      <c r="F430">
        <v>0</v>
      </c>
      <c r="G430">
        <v>0.0015533470997679</v>
      </c>
      <c r="H430">
        <v>0.096605987985157</v>
      </c>
      <c r="I430">
        <v>7.5</v>
      </c>
      <c r="J430" t="b">
        <v>1</v>
      </c>
      <c r="K430">
        <v>25.94897285045832</v>
      </c>
      <c r="L430" t="b">
        <v>1</v>
      </c>
      <c r="M430" t="b">
        <v>1</v>
      </c>
    </row>
    <row r="431" spans="1:13">
      <c r="A431" t="s">
        <v>149</v>
      </c>
      <c r="B431" t="s">
        <v>134</v>
      </c>
      <c r="C431">
        <v>15</v>
      </c>
      <c r="D431">
        <v>7.5</v>
      </c>
      <c r="E431">
        <v>0.0015533470997708</v>
      </c>
      <c r="F431">
        <v>0</v>
      </c>
      <c r="G431">
        <v>0.0015533470997679</v>
      </c>
      <c r="H431">
        <v>0.1496775033449466</v>
      </c>
      <c r="I431">
        <v>7.5</v>
      </c>
      <c r="J431" t="b">
        <v>1</v>
      </c>
      <c r="K431">
        <v>25.79216706220677</v>
      </c>
      <c r="L431" t="b">
        <v>1</v>
      </c>
      <c r="M431" t="b">
        <v>1</v>
      </c>
    </row>
    <row r="432" spans="1:13">
      <c r="A432" t="s">
        <v>149</v>
      </c>
      <c r="B432" t="s">
        <v>135</v>
      </c>
      <c r="C432">
        <v>15</v>
      </c>
      <c r="D432">
        <v>7.5</v>
      </c>
      <c r="E432">
        <v>0.0015533470997708</v>
      </c>
      <c r="F432">
        <v>0</v>
      </c>
      <c r="G432">
        <v>0.0015533470997679</v>
      </c>
      <c r="H432">
        <v>0.205255086143751</v>
      </c>
      <c r="I432">
        <v>0</v>
      </c>
      <c r="J432" t="b">
        <v>1</v>
      </c>
      <c r="K432">
        <v>25.67972769262852</v>
      </c>
      <c r="L432" t="b">
        <v>1</v>
      </c>
      <c r="M432" t="b">
        <v>1</v>
      </c>
    </row>
    <row r="433" spans="1:13">
      <c r="A433" t="s">
        <v>149</v>
      </c>
      <c r="B433" t="s">
        <v>136</v>
      </c>
      <c r="C433">
        <v>15</v>
      </c>
      <c r="D433">
        <v>7.5</v>
      </c>
      <c r="E433">
        <v>0.0015533470997708</v>
      </c>
      <c r="F433">
        <v>0</v>
      </c>
      <c r="G433">
        <v>0.0015533470997679</v>
      </c>
      <c r="H433">
        <v>0.0541586383286016</v>
      </c>
      <c r="I433">
        <v>7.5</v>
      </c>
      <c r="J433" t="b">
        <v>1</v>
      </c>
      <c r="K433">
        <v>25.28780896212908</v>
      </c>
      <c r="L433" t="b">
        <v>1</v>
      </c>
      <c r="M433" t="b">
        <v>1</v>
      </c>
    </row>
    <row r="434" spans="1:13">
      <c r="A434" t="s">
        <v>149</v>
      </c>
      <c r="B434" t="s">
        <v>137</v>
      </c>
      <c r="C434">
        <v>15</v>
      </c>
      <c r="D434">
        <v>7.5</v>
      </c>
      <c r="E434">
        <v>0.0015533470997708</v>
      </c>
      <c r="F434">
        <v>0</v>
      </c>
      <c r="G434">
        <v>0.0015533470997679</v>
      </c>
      <c r="H434">
        <v>0.1040027752717662</v>
      </c>
      <c r="I434">
        <v>0</v>
      </c>
      <c r="J434" t="b">
        <v>1</v>
      </c>
      <c r="K434">
        <v>25.09576222692331</v>
      </c>
      <c r="L434" t="b">
        <v>1</v>
      </c>
      <c r="M434" t="b">
        <v>1</v>
      </c>
    </row>
    <row r="435" spans="1:13">
      <c r="A435" t="s">
        <v>149</v>
      </c>
      <c r="B435" t="s">
        <v>138</v>
      </c>
      <c r="C435">
        <v>15</v>
      </c>
      <c r="D435">
        <v>7.5</v>
      </c>
      <c r="E435">
        <v>0.0015533470997708</v>
      </c>
      <c r="F435">
        <v>0</v>
      </c>
      <c r="G435">
        <v>0.0015533470997679</v>
      </c>
      <c r="H435">
        <v>0.1603109782819842</v>
      </c>
      <c r="I435">
        <v>0</v>
      </c>
      <c r="J435" t="b">
        <v>1</v>
      </c>
      <c r="K435">
        <v>24.91399856259875</v>
      </c>
      <c r="L435" t="b">
        <v>1</v>
      </c>
      <c r="M435" t="b">
        <v>1</v>
      </c>
    </row>
    <row r="436" spans="1:13">
      <c r="A436" t="s">
        <v>149</v>
      </c>
      <c r="B436" t="s">
        <v>139</v>
      </c>
      <c r="C436">
        <v>15</v>
      </c>
      <c r="D436">
        <v>7.5</v>
      </c>
      <c r="E436">
        <v>0.0015533470997708</v>
      </c>
      <c r="F436">
        <v>0</v>
      </c>
      <c r="G436">
        <v>0.0015533470997679</v>
      </c>
      <c r="H436">
        <v>0.2179956412870751</v>
      </c>
      <c r="I436">
        <v>7.5</v>
      </c>
      <c r="J436" t="b">
        <v>1</v>
      </c>
      <c r="K436">
        <v>24.75037917171469</v>
      </c>
      <c r="L436" t="b">
        <v>1</v>
      </c>
      <c r="M436" t="b">
        <v>1</v>
      </c>
    </row>
    <row r="437" spans="1:13">
      <c r="A437" t="s">
        <v>114</v>
      </c>
      <c r="B437" t="s">
        <v>116</v>
      </c>
      <c r="C437">
        <v>7.5</v>
      </c>
      <c r="D437">
        <v>3.75</v>
      </c>
      <c r="E437">
        <v>0.0001010482238825</v>
      </c>
      <c r="F437">
        <v>0</v>
      </c>
      <c r="G437">
        <v>0.0001010482239044</v>
      </c>
      <c r="H437">
        <v>0.008777258184551299</v>
      </c>
      <c r="I437">
        <v>0</v>
      </c>
      <c r="J437" t="b">
        <v>1</v>
      </c>
      <c r="K437">
        <v>14.92468389494093</v>
      </c>
      <c r="L437" t="b">
        <v>1</v>
      </c>
      <c r="M437" t="b">
        <v>1</v>
      </c>
    </row>
    <row r="438" spans="1:13">
      <c r="A438" t="s">
        <v>114</v>
      </c>
      <c r="B438" t="s">
        <v>117</v>
      </c>
      <c r="C438">
        <v>7.5</v>
      </c>
      <c r="D438">
        <v>3.75</v>
      </c>
      <c r="E438">
        <v>0.0001010482238825</v>
      </c>
      <c r="F438">
        <v>0</v>
      </c>
      <c r="G438">
        <v>0.0001010482239044</v>
      </c>
      <c r="H438">
        <v>0.0156414125550057</v>
      </c>
      <c r="I438">
        <v>3.75</v>
      </c>
      <c r="J438" t="b">
        <v>1</v>
      </c>
      <c r="K438">
        <v>14.79591610038256</v>
      </c>
      <c r="L438" t="b">
        <v>1</v>
      </c>
      <c r="M438" t="b">
        <v>1</v>
      </c>
    </row>
    <row r="439" spans="1:13">
      <c r="A439" t="s">
        <v>114</v>
      </c>
      <c r="B439" t="s">
        <v>118</v>
      </c>
      <c r="C439">
        <v>7.5</v>
      </c>
      <c r="D439">
        <v>3.75</v>
      </c>
      <c r="E439">
        <v>0.0001010482238825</v>
      </c>
      <c r="F439">
        <v>0</v>
      </c>
      <c r="G439">
        <v>0.0001010482239044</v>
      </c>
      <c r="H439">
        <v>0.0221301611410353</v>
      </c>
      <c r="I439">
        <v>0</v>
      </c>
      <c r="J439" t="b">
        <v>1</v>
      </c>
      <c r="K439">
        <v>14.67445250507922</v>
      </c>
      <c r="L439" t="b">
        <v>1</v>
      </c>
      <c r="M439" t="b">
        <v>1</v>
      </c>
    </row>
    <row r="440" spans="1:13">
      <c r="A440" t="s">
        <v>114</v>
      </c>
      <c r="B440" t="s">
        <v>119</v>
      </c>
      <c r="C440">
        <v>7.5</v>
      </c>
      <c r="D440">
        <v>3.75</v>
      </c>
      <c r="E440">
        <v>0.0001010482238825</v>
      </c>
      <c r="F440">
        <v>0</v>
      </c>
      <c r="G440">
        <v>0.0001010482239044</v>
      </c>
      <c r="H440">
        <v>0.0275297013151245</v>
      </c>
      <c r="I440">
        <v>3.75</v>
      </c>
      <c r="J440" t="b">
        <v>1</v>
      </c>
      <c r="K440">
        <v>14.59913898299163</v>
      </c>
      <c r="L440" t="b">
        <v>1</v>
      </c>
      <c r="M440" t="b">
        <v>1</v>
      </c>
    </row>
    <row r="441" spans="1:13">
      <c r="A441" t="s">
        <v>114</v>
      </c>
      <c r="B441" t="s">
        <v>120</v>
      </c>
      <c r="C441">
        <v>7.5</v>
      </c>
      <c r="D441">
        <v>3.75</v>
      </c>
      <c r="E441">
        <v>9.555531472318489E-05</v>
      </c>
      <c r="F441">
        <v>0</v>
      </c>
      <c r="G441">
        <v>0.0001010482239044</v>
      </c>
      <c r="H441">
        <v>0.0115799820856175</v>
      </c>
      <c r="I441">
        <v>3.75</v>
      </c>
      <c r="J441" t="b">
        <v>1</v>
      </c>
      <c r="K441">
        <v>13.28186387730597</v>
      </c>
      <c r="L441" t="b">
        <v>1</v>
      </c>
      <c r="M441" t="b">
        <v>1</v>
      </c>
    </row>
    <row r="442" spans="1:13">
      <c r="A442" t="s">
        <v>114</v>
      </c>
      <c r="B442" t="s">
        <v>121</v>
      </c>
      <c r="C442">
        <v>7.5</v>
      </c>
      <c r="D442">
        <v>3.75</v>
      </c>
      <c r="E442">
        <v>0.0021343735498975</v>
      </c>
      <c r="F442">
        <v>0</v>
      </c>
      <c r="G442">
        <v>0.0001010482239044</v>
      </c>
      <c r="H442">
        <v>0.0201668589484125</v>
      </c>
      <c r="I442">
        <v>0</v>
      </c>
      <c r="J442" t="b">
        <v>1</v>
      </c>
      <c r="K442">
        <v>13.13993220550174</v>
      </c>
      <c r="L442" t="b">
        <v>1</v>
      </c>
      <c r="M442" t="b">
        <v>1</v>
      </c>
    </row>
    <row r="443" spans="1:13">
      <c r="A443" t="s">
        <v>114</v>
      </c>
      <c r="B443" t="s">
        <v>122</v>
      </c>
      <c r="C443">
        <v>7.5</v>
      </c>
      <c r="D443">
        <v>3.75</v>
      </c>
      <c r="E443">
        <v>0.0109911910756075</v>
      </c>
      <c r="F443">
        <v>0</v>
      </c>
      <c r="G443">
        <v>0.0001010482239044</v>
      </c>
      <c r="H443">
        <v>0.0273173289607711</v>
      </c>
      <c r="I443">
        <v>0</v>
      </c>
      <c r="J443" t="b">
        <v>1</v>
      </c>
      <c r="K443">
        <v>13.04164499773392</v>
      </c>
      <c r="L443" t="b">
        <v>1</v>
      </c>
      <c r="M443" t="b">
        <v>0</v>
      </c>
    </row>
    <row r="444" spans="1:13">
      <c r="A444" t="s">
        <v>114</v>
      </c>
      <c r="B444" t="s">
        <v>123</v>
      </c>
      <c r="C444">
        <v>7.5</v>
      </c>
      <c r="D444">
        <v>3.75</v>
      </c>
      <c r="E444">
        <v>0.0003502997953455</v>
      </c>
      <c r="F444">
        <v>0.0005642268828584</v>
      </c>
      <c r="G444">
        <v>0.0001010482239044</v>
      </c>
      <c r="H444">
        <v>0</v>
      </c>
      <c r="J444" t="b">
        <v>1</v>
      </c>
      <c r="K444">
        <v>10.67806157948112</v>
      </c>
      <c r="L444" t="b">
        <v>1</v>
      </c>
      <c r="M444" t="b">
        <v>1</v>
      </c>
    </row>
    <row r="445" spans="1:13">
      <c r="A445" t="s">
        <v>114</v>
      </c>
      <c r="B445" t="s">
        <v>124</v>
      </c>
      <c r="C445">
        <v>7.5</v>
      </c>
      <c r="D445">
        <v>3.75</v>
      </c>
      <c r="E445">
        <v>8.60710101795432E-05</v>
      </c>
      <c r="F445">
        <v>0.0001629782795537</v>
      </c>
      <c r="G445">
        <v>0.0001010482239044</v>
      </c>
      <c r="H445">
        <v>0</v>
      </c>
      <c r="J445" t="b">
        <v>1</v>
      </c>
      <c r="K445">
        <v>7.569412622216021</v>
      </c>
      <c r="L445" t="b">
        <v>1</v>
      </c>
      <c r="M445" t="b">
        <v>1</v>
      </c>
    </row>
    <row r="446" spans="1:13">
      <c r="A446" t="s">
        <v>114</v>
      </c>
      <c r="B446" t="s">
        <v>125</v>
      </c>
      <c r="C446">
        <v>7.5</v>
      </c>
      <c r="D446">
        <v>3.75</v>
      </c>
      <c r="E446">
        <v>0.0001642097297425</v>
      </c>
      <c r="F446">
        <v>0.0002992908550384</v>
      </c>
      <c r="G446">
        <v>0.0001010482239044</v>
      </c>
      <c r="H446">
        <v>0</v>
      </c>
      <c r="J446" t="b">
        <v>1</v>
      </c>
      <c r="K446">
        <v>8.40346546648405</v>
      </c>
      <c r="L446" t="b">
        <v>1</v>
      </c>
      <c r="M446" t="b">
        <v>1</v>
      </c>
    </row>
    <row r="447" spans="1:13">
      <c r="A447" t="s">
        <v>114</v>
      </c>
      <c r="B447" t="s">
        <v>126</v>
      </c>
      <c r="C447">
        <v>7.5</v>
      </c>
      <c r="D447">
        <v>3.75</v>
      </c>
      <c r="E447">
        <v>0.0002535038687733</v>
      </c>
      <c r="F447">
        <v>0.0004388220584129</v>
      </c>
      <c r="G447">
        <v>0.0001010482239044</v>
      </c>
      <c r="H447">
        <v>0</v>
      </c>
      <c r="J447" t="b">
        <v>1</v>
      </c>
      <c r="K447">
        <v>9.02661611980875</v>
      </c>
      <c r="L447" t="b">
        <v>1</v>
      </c>
      <c r="M447" t="b">
        <v>1</v>
      </c>
    </row>
    <row r="448" spans="1:13">
      <c r="A448" t="s">
        <v>114</v>
      </c>
      <c r="B448" t="s">
        <v>127</v>
      </c>
      <c r="C448">
        <v>7.5</v>
      </c>
      <c r="D448">
        <v>3.75</v>
      </c>
      <c r="E448">
        <v>0.0003502997953455</v>
      </c>
      <c r="F448">
        <v>0.0005642268828584</v>
      </c>
      <c r="G448">
        <v>0.0001010482239044</v>
      </c>
      <c r="H448">
        <v>0</v>
      </c>
      <c r="J448" t="b">
        <v>1</v>
      </c>
      <c r="K448">
        <v>9.538107062273582</v>
      </c>
      <c r="L448" t="b">
        <v>1</v>
      </c>
      <c r="M448" t="b">
        <v>1</v>
      </c>
    </row>
    <row r="449" spans="1:13">
      <c r="A449" t="s">
        <v>114</v>
      </c>
      <c r="B449" t="s">
        <v>128</v>
      </c>
      <c r="C449">
        <v>7.5</v>
      </c>
      <c r="D449">
        <v>3.75</v>
      </c>
      <c r="E449">
        <v>8.60710101795432E-05</v>
      </c>
      <c r="F449">
        <v>0.0001629782795537</v>
      </c>
      <c r="G449">
        <v>0.0001010482239044</v>
      </c>
      <c r="H449">
        <v>0</v>
      </c>
      <c r="J449" t="b">
        <v>1</v>
      </c>
      <c r="K449">
        <v>6.760388497377789</v>
      </c>
      <c r="L449" t="b">
        <v>1</v>
      </c>
      <c r="M449" t="b">
        <v>1</v>
      </c>
    </row>
    <row r="450" spans="1:13">
      <c r="A450" t="s">
        <v>114</v>
      </c>
      <c r="B450" t="s">
        <v>129</v>
      </c>
      <c r="C450">
        <v>7.5</v>
      </c>
      <c r="D450">
        <v>3.75</v>
      </c>
      <c r="E450">
        <v>0.0001642097297425</v>
      </c>
      <c r="F450">
        <v>0.0002992908550384</v>
      </c>
      <c r="G450">
        <v>0.0001010482239044</v>
      </c>
      <c r="H450">
        <v>0</v>
      </c>
      <c r="J450" t="b">
        <v>1</v>
      </c>
      <c r="K450">
        <v>7.594507426728825</v>
      </c>
      <c r="L450" t="b">
        <v>1</v>
      </c>
      <c r="M450" t="b">
        <v>1</v>
      </c>
    </row>
    <row r="451" spans="1:13">
      <c r="A451" t="s">
        <v>114</v>
      </c>
      <c r="B451" t="s">
        <v>130</v>
      </c>
      <c r="C451">
        <v>7.5</v>
      </c>
      <c r="D451">
        <v>3.75</v>
      </c>
      <c r="E451">
        <v>0.0002535038687733</v>
      </c>
      <c r="F451">
        <v>0.0004388220584129</v>
      </c>
      <c r="G451">
        <v>0.0001010482239044</v>
      </c>
      <c r="H451">
        <v>0</v>
      </c>
      <c r="J451" t="b">
        <v>1</v>
      </c>
      <c r="K451">
        <v>8.217357990193364</v>
      </c>
      <c r="L451" t="b">
        <v>1</v>
      </c>
      <c r="M451" t="b">
        <v>1</v>
      </c>
    </row>
    <row r="452" spans="1:13">
      <c r="A452" t="s">
        <v>114</v>
      </c>
      <c r="B452" t="s">
        <v>131</v>
      </c>
      <c r="C452">
        <v>7.5</v>
      </c>
      <c r="D452">
        <v>3.75</v>
      </c>
      <c r="E452">
        <v>0.0003502997953455</v>
      </c>
      <c r="F452">
        <v>0.0005642268828584</v>
      </c>
      <c r="G452">
        <v>0.0001010482239044</v>
      </c>
      <c r="H452">
        <v>0</v>
      </c>
      <c r="J452" t="b">
        <v>1</v>
      </c>
      <c r="K452">
        <v>8.729405163521164</v>
      </c>
      <c r="L452" t="b">
        <v>1</v>
      </c>
      <c r="M452" t="b">
        <v>1</v>
      </c>
    </row>
    <row r="453" spans="1:13">
      <c r="A453" t="s">
        <v>114</v>
      </c>
      <c r="B453" t="s">
        <v>132</v>
      </c>
      <c r="C453">
        <v>7.5</v>
      </c>
      <c r="D453">
        <v>3.75</v>
      </c>
      <c r="E453">
        <v>8.60710101795432E-05</v>
      </c>
      <c r="F453">
        <v>0.0001629782795537</v>
      </c>
      <c r="G453">
        <v>0.0001010482239044</v>
      </c>
      <c r="H453">
        <v>0</v>
      </c>
      <c r="J453" t="b">
        <v>1</v>
      </c>
      <c r="K453">
        <v>6.132849128351836</v>
      </c>
      <c r="L453" t="b">
        <v>1</v>
      </c>
      <c r="M453" t="b">
        <v>1</v>
      </c>
    </row>
    <row r="454" spans="1:13">
      <c r="A454" t="s">
        <v>114</v>
      </c>
      <c r="B454" t="s">
        <v>133</v>
      </c>
      <c r="C454">
        <v>7.5</v>
      </c>
      <c r="D454">
        <v>3.75</v>
      </c>
      <c r="E454">
        <v>0.0001642097297425</v>
      </c>
      <c r="F454">
        <v>0.0002992908550384</v>
      </c>
      <c r="G454">
        <v>0.0001010482239044</v>
      </c>
      <c r="H454">
        <v>0</v>
      </c>
      <c r="J454" t="b">
        <v>1</v>
      </c>
      <c r="K454">
        <v>6.967088847583369</v>
      </c>
      <c r="L454" t="b">
        <v>1</v>
      </c>
      <c r="M454" t="b">
        <v>1</v>
      </c>
    </row>
    <row r="455" spans="1:13">
      <c r="A455" t="s">
        <v>114</v>
      </c>
      <c r="B455" t="s">
        <v>134</v>
      </c>
      <c r="C455">
        <v>7.5</v>
      </c>
      <c r="D455">
        <v>3.75</v>
      </c>
      <c r="E455">
        <v>0.0002535038687733</v>
      </c>
      <c r="F455">
        <v>0.0004388220584129</v>
      </c>
      <c r="G455">
        <v>0.0001010482239044</v>
      </c>
      <c r="H455">
        <v>0</v>
      </c>
      <c r="J455" t="b">
        <v>1</v>
      </c>
      <c r="K455">
        <v>7.5903031669597</v>
      </c>
      <c r="L455" t="b">
        <v>1</v>
      </c>
      <c r="M455" t="b">
        <v>1</v>
      </c>
    </row>
    <row r="456" spans="1:13">
      <c r="A456" t="s">
        <v>114</v>
      </c>
      <c r="B456" t="s">
        <v>135</v>
      </c>
      <c r="C456">
        <v>7.5</v>
      </c>
      <c r="D456">
        <v>3.75</v>
      </c>
      <c r="E456">
        <v>0.0003502997953455</v>
      </c>
      <c r="F456">
        <v>0.0005642268828584</v>
      </c>
      <c r="G456">
        <v>0.0001010482239044</v>
      </c>
      <c r="H456">
        <v>0</v>
      </c>
      <c r="J456" t="b">
        <v>1</v>
      </c>
      <c r="K456">
        <v>8.102003551766401</v>
      </c>
      <c r="L456" t="b">
        <v>1</v>
      </c>
      <c r="M456" t="b">
        <v>1</v>
      </c>
    </row>
    <row r="457" spans="1:13">
      <c r="A457" t="s">
        <v>114</v>
      </c>
      <c r="B457" t="s">
        <v>136</v>
      </c>
      <c r="C457">
        <v>7.5</v>
      </c>
      <c r="D457">
        <v>3.75</v>
      </c>
      <c r="E457">
        <v>8.60710101795432E-05</v>
      </c>
      <c r="F457">
        <v>0.0001629782795537</v>
      </c>
      <c r="G457">
        <v>0.0001010482239044</v>
      </c>
      <c r="H457">
        <v>0</v>
      </c>
      <c r="J457" t="b">
        <v>1</v>
      </c>
      <c r="K457">
        <v>5.620043847476097</v>
      </c>
      <c r="L457" t="b">
        <v>1</v>
      </c>
      <c r="M457" t="b">
        <v>1</v>
      </c>
    </row>
    <row r="458" spans="1:13">
      <c r="A458" t="s">
        <v>114</v>
      </c>
      <c r="B458" t="s">
        <v>137</v>
      </c>
      <c r="C458">
        <v>7.5</v>
      </c>
      <c r="D458">
        <v>3.75</v>
      </c>
      <c r="E458">
        <v>0.0001642097297425</v>
      </c>
      <c r="F458">
        <v>0.0002992908550384</v>
      </c>
      <c r="G458">
        <v>0.0001010482239044</v>
      </c>
      <c r="H458">
        <v>0</v>
      </c>
      <c r="J458" t="b">
        <v>1</v>
      </c>
      <c r="K458">
        <v>6.454426113840128</v>
      </c>
      <c r="L458" t="b">
        <v>1</v>
      </c>
      <c r="M458" t="b">
        <v>1</v>
      </c>
    </row>
    <row r="459" spans="1:13">
      <c r="A459" t="s">
        <v>114</v>
      </c>
      <c r="B459" t="s">
        <v>138</v>
      </c>
      <c r="C459">
        <v>7.5</v>
      </c>
      <c r="D459">
        <v>3.75</v>
      </c>
      <c r="E459">
        <v>0.0002535038687733</v>
      </c>
      <c r="F459">
        <v>0.0004388220584129</v>
      </c>
      <c r="G459">
        <v>0.0001010482239044</v>
      </c>
      <c r="H459">
        <v>0</v>
      </c>
      <c r="J459" t="b">
        <v>1</v>
      </c>
      <c r="K459">
        <v>7.077486481891171</v>
      </c>
      <c r="L459" t="b">
        <v>1</v>
      </c>
      <c r="M459" t="b">
        <v>1</v>
      </c>
    </row>
    <row r="460" spans="1:13">
      <c r="A460" t="s">
        <v>114</v>
      </c>
      <c r="B460" t="s">
        <v>139</v>
      </c>
      <c r="C460">
        <v>7.5</v>
      </c>
      <c r="D460">
        <v>3.75</v>
      </c>
      <c r="E460">
        <v>0.0003502997953455</v>
      </c>
      <c r="F460">
        <v>0.0005642268828584</v>
      </c>
      <c r="G460">
        <v>0.0001010482239044</v>
      </c>
      <c r="H460">
        <v>0</v>
      </c>
      <c r="J460" t="b">
        <v>1</v>
      </c>
      <c r="K460">
        <v>7.589045208182554</v>
      </c>
      <c r="L460" t="b">
        <v>1</v>
      </c>
      <c r="M460" t="b">
        <v>1</v>
      </c>
    </row>
    <row r="461" spans="1:13">
      <c r="A461" t="s">
        <v>140</v>
      </c>
      <c r="B461" t="s">
        <v>116</v>
      </c>
      <c r="C461">
        <v>7.5</v>
      </c>
      <c r="D461">
        <v>3.75</v>
      </c>
      <c r="E461">
        <v>0.0006643104907672</v>
      </c>
      <c r="F461">
        <v>0</v>
      </c>
      <c r="G461">
        <v>0.0005452776781795</v>
      </c>
      <c r="H461">
        <v>0.0078080204106711</v>
      </c>
      <c r="I461">
        <v>0</v>
      </c>
      <c r="J461" t="b">
        <v>1</v>
      </c>
      <c r="K461">
        <v>14.16257403407712</v>
      </c>
      <c r="L461" t="b">
        <v>1</v>
      </c>
      <c r="M461" t="b">
        <v>1</v>
      </c>
    </row>
    <row r="462" spans="1:13">
      <c r="A462" t="s">
        <v>140</v>
      </c>
      <c r="B462" t="s">
        <v>117</v>
      </c>
      <c r="C462">
        <v>7.5</v>
      </c>
      <c r="D462">
        <v>3.75</v>
      </c>
      <c r="E462">
        <v>0.0005207391319223</v>
      </c>
      <c r="F462">
        <v>0</v>
      </c>
      <c r="G462">
        <v>0.0005452776781795</v>
      </c>
      <c r="H462">
        <v>0.0136034195173095</v>
      </c>
      <c r="I462">
        <v>3.75</v>
      </c>
      <c r="J462" t="b">
        <v>1</v>
      </c>
      <c r="K462">
        <v>14.0327828353989</v>
      </c>
      <c r="L462" t="b">
        <v>1</v>
      </c>
      <c r="M462" t="b">
        <v>1</v>
      </c>
    </row>
    <row r="463" spans="1:13">
      <c r="A463" t="s">
        <v>140</v>
      </c>
      <c r="B463" t="s">
        <v>118</v>
      </c>
      <c r="C463">
        <v>7.5</v>
      </c>
      <c r="D463">
        <v>3.75</v>
      </c>
      <c r="E463">
        <v>0.000813855820794</v>
      </c>
      <c r="F463">
        <v>0</v>
      </c>
      <c r="G463">
        <v>0.0005452776781795</v>
      </c>
      <c r="H463">
        <v>0.0190151982889759</v>
      </c>
      <c r="I463">
        <v>0</v>
      </c>
      <c r="J463" t="b">
        <v>1</v>
      </c>
      <c r="K463">
        <v>13.95016253634225</v>
      </c>
      <c r="L463" t="b">
        <v>1</v>
      </c>
      <c r="M463" t="b">
        <v>1</v>
      </c>
    </row>
    <row r="464" spans="1:13">
      <c r="A464" t="s">
        <v>140</v>
      </c>
      <c r="B464" t="s">
        <v>119</v>
      </c>
      <c r="C464">
        <v>7.5</v>
      </c>
      <c r="D464">
        <v>3.75</v>
      </c>
      <c r="E464">
        <v>0.0005186186303228</v>
      </c>
      <c r="F464">
        <v>0</v>
      </c>
      <c r="G464">
        <v>0.0005452776781795</v>
      </c>
      <c r="H464">
        <v>0.0234588407708606</v>
      </c>
      <c r="I464">
        <v>3.75</v>
      </c>
      <c r="J464" t="b">
        <v>1</v>
      </c>
      <c r="K464">
        <v>13.91639204419235</v>
      </c>
      <c r="L464" t="b">
        <v>1</v>
      </c>
      <c r="M464" t="b">
        <v>1</v>
      </c>
    </row>
    <row r="465" spans="1:13">
      <c r="A465" t="s">
        <v>140</v>
      </c>
      <c r="B465" t="s">
        <v>120</v>
      </c>
      <c r="C465">
        <v>7.5</v>
      </c>
      <c r="D465">
        <v>3.75</v>
      </c>
      <c r="E465">
        <v>0.004916706795568</v>
      </c>
      <c r="F465">
        <v>0</v>
      </c>
      <c r="G465">
        <v>0.0005452776781795</v>
      </c>
      <c r="H465">
        <v>0.0099476151853057</v>
      </c>
      <c r="I465">
        <v>3.75</v>
      </c>
      <c r="J465" t="b">
        <v>1</v>
      </c>
      <c r="K465">
        <v>12.51585745729642</v>
      </c>
      <c r="L465" t="b">
        <v>1</v>
      </c>
      <c r="M465" t="b">
        <v>1</v>
      </c>
    </row>
    <row r="466" spans="1:13">
      <c r="A466" t="s">
        <v>140</v>
      </c>
      <c r="B466" t="s">
        <v>121</v>
      </c>
      <c r="C466">
        <v>7.5</v>
      </c>
      <c r="D466">
        <v>3.75</v>
      </c>
      <c r="E466">
        <v>0.0029730601393754</v>
      </c>
      <c r="F466">
        <v>0</v>
      </c>
      <c r="G466">
        <v>0.0005452776781795</v>
      </c>
      <c r="H466">
        <v>0.0167220778229442</v>
      </c>
      <c r="I466">
        <v>0</v>
      </c>
      <c r="J466" t="b">
        <v>1</v>
      </c>
      <c r="K466">
        <v>12.41633401467652</v>
      </c>
      <c r="L466" t="b">
        <v>1</v>
      </c>
      <c r="M466" t="b">
        <v>1</v>
      </c>
    </row>
    <row r="467" spans="1:13">
      <c r="A467" t="s">
        <v>140</v>
      </c>
      <c r="B467" t="s">
        <v>122</v>
      </c>
      <c r="C467">
        <v>7.5</v>
      </c>
      <c r="D467">
        <v>3.75</v>
      </c>
      <c r="E467">
        <v>0.0002020670428346</v>
      </c>
      <c r="F467">
        <v>0.0003485063060696</v>
      </c>
      <c r="G467">
        <v>0.0005452776781795</v>
      </c>
      <c r="H467">
        <v>0</v>
      </c>
      <c r="J467" t="b">
        <v>1</v>
      </c>
      <c r="K467">
        <v>10.1213629621391</v>
      </c>
      <c r="L467" t="b">
        <v>1</v>
      </c>
      <c r="M467" t="b">
        <v>1</v>
      </c>
    </row>
    <row r="468" spans="1:13">
      <c r="A468" t="s">
        <v>140</v>
      </c>
      <c r="B468" t="s">
        <v>123</v>
      </c>
      <c r="C468">
        <v>7.5</v>
      </c>
      <c r="D468">
        <v>3.75</v>
      </c>
      <c r="E468">
        <v>0.0002919763685932</v>
      </c>
      <c r="F468">
        <v>0.0004665186247081</v>
      </c>
      <c r="G468">
        <v>0.0005452776781795</v>
      </c>
      <c r="H468">
        <v>0</v>
      </c>
      <c r="J468" t="b">
        <v>1</v>
      </c>
      <c r="K468">
        <v>10.642910266683</v>
      </c>
      <c r="L468" t="b">
        <v>1</v>
      </c>
      <c r="M468" t="b">
        <v>1</v>
      </c>
    </row>
    <row r="469" spans="1:13">
      <c r="A469" t="s">
        <v>140</v>
      </c>
      <c r="B469" t="s">
        <v>124</v>
      </c>
      <c r="C469">
        <v>7.5</v>
      </c>
      <c r="D469">
        <v>3.75</v>
      </c>
      <c r="E469">
        <v>7.324664970191095E-05</v>
      </c>
      <c r="F469">
        <v>0.0001386601338508</v>
      </c>
      <c r="G469">
        <v>0.0005452776781795</v>
      </c>
      <c r="H469">
        <v>0</v>
      </c>
      <c r="J469" t="b">
        <v>1</v>
      </c>
      <c r="K469">
        <v>7.516912297322165</v>
      </c>
      <c r="L469" t="b">
        <v>1</v>
      </c>
      <c r="M469" t="b">
        <v>1</v>
      </c>
    </row>
    <row r="470" spans="1:13">
      <c r="A470" t="s">
        <v>140</v>
      </c>
      <c r="B470" t="s">
        <v>125</v>
      </c>
      <c r="C470">
        <v>7.5</v>
      </c>
      <c r="D470">
        <v>3.75</v>
      </c>
      <c r="E470">
        <v>0.0001346752213025</v>
      </c>
      <c r="F470">
        <v>0.0002451698026233</v>
      </c>
      <c r="G470">
        <v>0.0005452776781795</v>
      </c>
      <c r="H470">
        <v>0</v>
      </c>
      <c r="J470" t="b">
        <v>1</v>
      </c>
      <c r="K470">
        <v>8.353084235616848</v>
      </c>
      <c r="L470" t="b">
        <v>1</v>
      </c>
      <c r="M470" t="b">
        <v>1</v>
      </c>
    </row>
    <row r="471" spans="1:13">
      <c r="A471" t="s">
        <v>140</v>
      </c>
      <c r="B471" t="s">
        <v>126</v>
      </c>
      <c r="C471">
        <v>7.5</v>
      </c>
      <c r="D471">
        <v>3.75</v>
      </c>
      <c r="E471">
        <v>0.0002020670428346</v>
      </c>
      <c r="F471">
        <v>0.0003485063060696</v>
      </c>
      <c r="G471">
        <v>0.0005452776781795</v>
      </c>
      <c r="H471">
        <v>0</v>
      </c>
      <c r="J471" t="b">
        <v>1</v>
      </c>
      <c r="K471">
        <v>8.981465577559788</v>
      </c>
      <c r="L471" t="b">
        <v>1</v>
      </c>
      <c r="M471" t="b">
        <v>1</v>
      </c>
    </row>
    <row r="472" spans="1:13">
      <c r="A472" t="s">
        <v>140</v>
      </c>
      <c r="B472" t="s">
        <v>127</v>
      </c>
      <c r="C472">
        <v>7.5</v>
      </c>
      <c r="D472">
        <v>3.75</v>
      </c>
      <c r="E472">
        <v>0.0002919763685932</v>
      </c>
      <c r="F472">
        <v>0.0004665186247081</v>
      </c>
      <c r="G472">
        <v>0.0005452776781795</v>
      </c>
      <c r="H472">
        <v>0</v>
      </c>
      <c r="J472" t="b">
        <v>1</v>
      </c>
      <c r="K472">
        <v>9.503060715667999</v>
      </c>
      <c r="L472" t="b">
        <v>1</v>
      </c>
      <c r="M472" t="b">
        <v>1</v>
      </c>
    </row>
    <row r="473" spans="1:13">
      <c r="A473" t="s">
        <v>140</v>
      </c>
      <c r="B473" t="s">
        <v>128</v>
      </c>
      <c r="C473">
        <v>7.5</v>
      </c>
      <c r="D473">
        <v>3.75</v>
      </c>
      <c r="E473">
        <v>7.324664970191095E-05</v>
      </c>
      <c r="F473">
        <v>0.0001386601338508</v>
      </c>
      <c r="G473">
        <v>0.0005452776781795</v>
      </c>
      <c r="H473">
        <v>0</v>
      </c>
      <c r="J473" t="b">
        <v>1</v>
      </c>
      <c r="K473">
        <v>6.7079092049525</v>
      </c>
      <c r="L473" t="b">
        <v>1</v>
      </c>
      <c r="M473" t="b">
        <v>1</v>
      </c>
    </row>
    <row r="474" spans="1:13">
      <c r="A474" t="s">
        <v>140</v>
      </c>
      <c r="B474" t="s">
        <v>129</v>
      </c>
      <c r="C474">
        <v>7.5</v>
      </c>
      <c r="D474">
        <v>3.75</v>
      </c>
      <c r="E474">
        <v>0.0001346752213025</v>
      </c>
      <c r="F474">
        <v>0.0002451698026233</v>
      </c>
      <c r="G474">
        <v>0.0005452776781795</v>
      </c>
      <c r="H474">
        <v>0</v>
      </c>
      <c r="J474" t="b">
        <v>1</v>
      </c>
      <c r="K474">
        <v>7.544050644565203</v>
      </c>
      <c r="L474" t="b">
        <v>1</v>
      </c>
      <c r="M474" t="b">
        <v>1</v>
      </c>
    </row>
    <row r="475" spans="1:13">
      <c r="A475" t="s">
        <v>140</v>
      </c>
      <c r="B475" t="s">
        <v>130</v>
      </c>
      <c r="C475">
        <v>7.5</v>
      </c>
      <c r="D475">
        <v>3.75</v>
      </c>
      <c r="E475">
        <v>0.0002020670428346</v>
      </c>
      <c r="F475">
        <v>0.0003485063060696</v>
      </c>
      <c r="G475">
        <v>0.0005452776781795</v>
      </c>
      <c r="H475">
        <v>0</v>
      </c>
      <c r="J475" t="b">
        <v>1</v>
      </c>
      <c r="K475">
        <v>8.172323543186621</v>
      </c>
      <c r="L475" t="b">
        <v>1</v>
      </c>
      <c r="M475" t="b">
        <v>1</v>
      </c>
    </row>
    <row r="476" spans="1:13">
      <c r="A476" t="s">
        <v>140</v>
      </c>
      <c r="B476" t="s">
        <v>131</v>
      </c>
      <c r="C476">
        <v>7.5</v>
      </c>
      <c r="D476">
        <v>3.75</v>
      </c>
      <c r="E476">
        <v>0.0002919763685932</v>
      </c>
      <c r="F476">
        <v>0.0004665186247081</v>
      </c>
      <c r="G476">
        <v>0.0005452776781795</v>
      </c>
      <c r="H476">
        <v>0</v>
      </c>
      <c r="J476" t="b">
        <v>1</v>
      </c>
      <c r="K476">
        <v>8.694355228004014</v>
      </c>
      <c r="L476" t="b">
        <v>1</v>
      </c>
      <c r="M476" t="b">
        <v>1</v>
      </c>
    </row>
    <row r="477" spans="1:13">
      <c r="A477" t="s">
        <v>140</v>
      </c>
      <c r="B477" t="s">
        <v>132</v>
      </c>
      <c r="C477">
        <v>7.5</v>
      </c>
      <c r="D477">
        <v>3.75</v>
      </c>
      <c r="E477">
        <v>7.324664970191095E-05</v>
      </c>
      <c r="F477">
        <v>0.0001386601338508</v>
      </c>
      <c r="G477">
        <v>0.0005452776781795</v>
      </c>
      <c r="H477">
        <v>0</v>
      </c>
      <c r="J477" t="b">
        <v>1</v>
      </c>
      <c r="K477">
        <v>6.080496750865905</v>
      </c>
      <c r="L477" t="b">
        <v>1</v>
      </c>
      <c r="M477" t="b">
        <v>1</v>
      </c>
    </row>
    <row r="478" spans="1:13">
      <c r="A478" t="s">
        <v>140</v>
      </c>
      <c r="B478" t="s">
        <v>133</v>
      </c>
      <c r="C478">
        <v>7.5</v>
      </c>
      <c r="D478">
        <v>3.75</v>
      </c>
      <c r="E478">
        <v>0.0001346752213025</v>
      </c>
      <c r="F478">
        <v>0.0002451698026233</v>
      </c>
      <c r="G478">
        <v>0.0005452776781795</v>
      </c>
      <c r="H478">
        <v>0</v>
      </c>
      <c r="J478" t="b">
        <v>1</v>
      </c>
      <c r="K478">
        <v>6.916520114894098</v>
      </c>
      <c r="L478" t="b">
        <v>1</v>
      </c>
      <c r="M478" t="b">
        <v>1</v>
      </c>
    </row>
    <row r="479" spans="1:13">
      <c r="A479" t="s">
        <v>140</v>
      </c>
      <c r="B479" t="s">
        <v>134</v>
      </c>
      <c r="C479">
        <v>7.5</v>
      </c>
      <c r="D479">
        <v>3.75</v>
      </c>
      <c r="E479">
        <v>0.0002020670428346</v>
      </c>
      <c r="F479">
        <v>0.0003485063060696</v>
      </c>
      <c r="G479">
        <v>0.0005452776781795</v>
      </c>
      <c r="H479">
        <v>0</v>
      </c>
      <c r="J479" t="b">
        <v>1</v>
      </c>
      <c r="K479">
        <v>7.545203224906771</v>
      </c>
      <c r="L479" t="b">
        <v>1</v>
      </c>
      <c r="M479" t="b">
        <v>1</v>
      </c>
    </row>
    <row r="480" spans="1:13">
      <c r="A480" t="s">
        <v>140</v>
      </c>
      <c r="B480" t="s">
        <v>135</v>
      </c>
      <c r="C480">
        <v>7.5</v>
      </c>
      <c r="D480">
        <v>3.75</v>
      </c>
      <c r="E480">
        <v>0.0002919763685932</v>
      </c>
      <c r="F480">
        <v>0.0004665186247081</v>
      </c>
      <c r="G480">
        <v>0.0005452776781795</v>
      </c>
      <c r="H480">
        <v>0</v>
      </c>
      <c r="J480" t="b">
        <v>1</v>
      </c>
      <c r="K480">
        <v>8.066863133031532</v>
      </c>
      <c r="L480" t="b">
        <v>1</v>
      </c>
      <c r="M480" t="b">
        <v>1</v>
      </c>
    </row>
    <row r="481" spans="1:13">
      <c r="A481" t="s">
        <v>140</v>
      </c>
      <c r="B481" t="s">
        <v>136</v>
      </c>
      <c r="C481">
        <v>7.5</v>
      </c>
      <c r="D481">
        <v>3.75</v>
      </c>
      <c r="E481">
        <v>7.324664970191095E-05</v>
      </c>
      <c r="F481">
        <v>0.0001386601338508</v>
      </c>
      <c r="G481">
        <v>0.0005452776781795</v>
      </c>
      <c r="H481">
        <v>0</v>
      </c>
      <c r="J481" t="b">
        <v>1</v>
      </c>
      <c r="K481">
        <v>5.567890617901128</v>
      </c>
      <c r="L481" t="b">
        <v>1</v>
      </c>
      <c r="M481" t="b">
        <v>1</v>
      </c>
    </row>
    <row r="482" spans="1:13">
      <c r="A482" t="s">
        <v>140</v>
      </c>
      <c r="B482" t="s">
        <v>137</v>
      </c>
      <c r="C482">
        <v>7.5</v>
      </c>
      <c r="D482">
        <v>3.75</v>
      </c>
      <c r="E482">
        <v>0.0001346752213025</v>
      </c>
      <c r="F482">
        <v>0.0002451698026233</v>
      </c>
      <c r="G482">
        <v>0.0005452776781795</v>
      </c>
      <c r="H482">
        <v>0</v>
      </c>
      <c r="J482" t="b">
        <v>1</v>
      </c>
      <c r="K482">
        <v>6.404315892632439</v>
      </c>
      <c r="L482" t="b">
        <v>1</v>
      </c>
      <c r="M482" t="b">
        <v>1</v>
      </c>
    </row>
    <row r="483" spans="1:13">
      <c r="A483" t="s">
        <v>140</v>
      </c>
      <c r="B483" t="s">
        <v>138</v>
      </c>
      <c r="C483">
        <v>7.5</v>
      </c>
      <c r="D483">
        <v>3.75</v>
      </c>
      <c r="E483">
        <v>0.0002020670428346</v>
      </c>
      <c r="F483">
        <v>0.0003485063060696</v>
      </c>
      <c r="G483">
        <v>0.0005452776781795</v>
      </c>
      <c r="H483">
        <v>0</v>
      </c>
      <c r="J483" t="b">
        <v>1</v>
      </c>
      <c r="K483">
        <v>7.031994480020032</v>
      </c>
      <c r="L483" t="b">
        <v>1</v>
      </c>
      <c r="M483" t="b">
        <v>1</v>
      </c>
    </row>
    <row r="484" spans="1:13">
      <c r="A484" t="s">
        <v>140</v>
      </c>
      <c r="B484" t="s">
        <v>139</v>
      </c>
      <c r="C484">
        <v>7.5</v>
      </c>
      <c r="D484">
        <v>3.75</v>
      </c>
      <c r="E484">
        <v>0.0002919763685932</v>
      </c>
      <c r="F484">
        <v>0.0004665186247081</v>
      </c>
      <c r="G484">
        <v>0.0005452776781795</v>
      </c>
      <c r="H484">
        <v>0</v>
      </c>
      <c r="J484" t="b">
        <v>1</v>
      </c>
      <c r="K484">
        <v>7.553874665752147</v>
      </c>
      <c r="L484" t="b">
        <v>1</v>
      </c>
      <c r="M484" t="b">
        <v>1</v>
      </c>
    </row>
    <row r="485" spans="1:13">
      <c r="A485" t="s">
        <v>142</v>
      </c>
      <c r="B485" t="s">
        <v>116</v>
      </c>
      <c r="C485">
        <v>7.5</v>
      </c>
      <c r="D485">
        <v>3.75</v>
      </c>
      <c r="E485">
        <v>0.0009453970106145</v>
      </c>
      <c r="F485">
        <v>0</v>
      </c>
      <c r="G485">
        <v>0.0009453970106096</v>
      </c>
      <c r="H485">
        <v>0.009575819806656199</v>
      </c>
      <c r="I485">
        <v>0</v>
      </c>
      <c r="J485" t="b">
        <v>1</v>
      </c>
      <c r="K485">
        <v>15.39204066682203</v>
      </c>
      <c r="L485" t="b">
        <v>1</v>
      </c>
      <c r="M485" t="b">
        <v>1</v>
      </c>
    </row>
    <row r="486" spans="1:13">
      <c r="A486" t="s">
        <v>142</v>
      </c>
      <c r="B486" t="s">
        <v>117</v>
      </c>
      <c r="C486">
        <v>7.5</v>
      </c>
      <c r="D486">
        <v>3.75</v>
      </c>
      <c r="E486">
        <v>0.0009453970106145</v>
      </c>
      <c r="F486">
        <v>0</v>
      </c>
      <c r="G486">
        <v>0.0009453970106096</v>
      </c>
      <c r="H486">
        <v>0.0174528102598827</v>
      </c>
      <c r="I486">
        <v>0</v>
      </c>
      <c r="J486" t="b">
        <v>1</v>
      </c>
      <c r="K486">
        <v>15.26074574949661</v>
      </c>
      <c r="L486" t="b">
        <v>1</v>
      </c>
      <c r="M486" t="b">
        <v>1</v>
      </c>
    </row>
    <row r="487" spans="1:13">
      <c r="A487" t="s">
        <v>142</v>
      </c>
      <c r="B487" t="s">
        <v>118</v>
      </c>
      <c r="C487">
        <v>7.5</v>
      </c>
      <c r="D487">
        <v>3.75</v>
      </c>
      <c r="E487">
        <v>0.0009453970106145</v>
      </c>
      <c r="F487">
        <v>0</v>
      </c>
      <c r="G487">
        <v>0.0009453970106096</v>
      </c>
      <c r="H487">
        <v>0.0254834112214723</v>
      </c>
      <c r="I487">
        <v>0</v>
      </c>
      <c r="J487" t="b">
        <v>1</v>
      </c>
      <c r="K487">
        <v>15.14762852641383</v>
      </c>
      <c r="L487" t="b">
        <v>1</v>
      </c>
      <c r="M487" t="b">
        <v>1</v>
      </c>
    </row>
    <row r="488" spans="1:13">
      <c r="A488" t="s">
        <v>142</v>
      </c>
      <c r="B488" t="s">
        <v>119</v>
      </c>
      <c r="C488">
        <v>7.5</v>
      </c>
      <c r="D488">
        <v>3.75</v>
      </c>
      <c r="E488">
        <v>0.0009453970106145</v>
      </c>
      <c r="F488">
        <v>0</v>
      </c>
      <c r="G488">
        <v>0.0009453970106096</v>
      </c>
      <c r="H488">
        <v>0.0327580091621797</v>
      </c>
      <c r="I488">
        <v>3.75</v>
      </c>
      <c r="J488" t="b">
        <v>1</v>
      </c>
      <c r="K488">
        <v>15.05424025944464</v>
      </c>
      <c r="L488" t="b">
        <v>1</v>
      </c>
      <c r="M488" t="b">
        <v>1</v>
      </c>
    </row>
    <row r="489" spans="1:13">
      <c r="A489" t="s">
        <v>142</v>
      </c>
      <c r="B489" t="s">
        <v>120</v>
      </c>
      <c r="C489">
        <v>7.5</v>
      </c>
      <c r="D489">
        <v>3.75</v>
      </c>
      <c r="E489">
        <v>0.0018265878463089</v>
      </c>
      <c r="F489">
        <v>0</v>
      </c>
      <c r="G489">
        <v>0.0009453970106096</v>
      </c>
      <c r="H489">
        <v>0.0128978710420675</v>
      </c>
      <c r="I489">
        <v>3.75</v>
      </c>
      <c r="J489" t="b">
        <v>1</v>
      </c>
      <c r="K489">
        <v>13.7631572359453</v>
      </c>
      <c r="L489" t="b">
        <v>1</v>
      </c>
      <c r="M489" t="b">
        <v>1</v>
      </c>
    </row>
    <row r="490" spans="1:13">
      <c r="A490" t="s">
        <v>142</v>
      </c>
      <c r="B490" t="s">
        <v>121</v>
      </c>
      <c r="C490">
        <v>7.5</v>
      </c>
      <c r="D490">
        <v>3.75</v>
      </c>
      <c r="E490">
        <v>0.0028604987696974</v>
      </c>
      <c r="F490">
        <v>0</v>
      </c>
      <c r="G490">
        <v>0.0009453970106096</v>
      </c>
      <c r="H490">
        <v>0.0232617095133615</v>
      </c>
      <c r="I490">
        <v>3.75</v>
      </c>
      <c r="J490" t="b">
        <v>1</v>
      </c>
      <c r="K490">
        <v>13.6130163486385</v>
      </c>
      <c r="L490" t="b">
        <v>1</v>
      </c>
      <c r="M490" t="b">
        <v>1</v>
      </c>
    </row>
    <row r="491" spans="1:13">
      <c r="A491" t="s">
        <v>142</v>
      </c>
      <c r="B491" t="s">
        <v>122</v>
      </c>
      <c r="C491">
        <v>7.5</v>
      </c>
      <c r="D491">
        <v>3.75</v>
      </c>
      <c r="E491">
        <v>0.0103085795737824</v>
      </c>
      <c r="F491">
        <v>0</v>
      </c>
      <c r="G491">
        <v>0.0009453970106096</v>
      </c>
      <c r="H491">
        <v>0.0332461187646577</v>
      </c>
      <c r="I491">
        <v>0</v>
      </c>
      <c r="J491" t="b">
        <v>1</v>
      </c>
      <c r="K491">
        <v>13.49472752494876</v>
      </c>
      <c r="L491" t="b">
        <v>1</v>
      </c>
      <c r="M491" t="b">
        <v>0</v>
      </c>
    </row>
    <row r="492" spans="1:13">
      <c r="A492" t="s">
        <v>142</v>
      </c>
      <c r="B492" t="s">
        <v>123</v>
      </c>
      <c r="C492">
        <v>7.5</v>
      </c>
      <c r="D492">
        <v>3.75</v>
      </c>
      <c r="E492">
        <v>0.0004175119615469</v>
      </c>
      <c r="F492">
        <v>0.0006861906734831</v>
      </c>
      <c r="G492">
        <v>0.0009453970106096</v>
      </c>
      <c r="H492">
        <v>0</v>
      </c>
      <c r="J492" t="b">
        <v>1</v>
      </c>
      <c r="K492">
        <v>10.60428452354145</v>
      </c>
      <c r="L492" t="b">
        <v>1</v>
      </c>
      <c r="M492" t="b">
        <v>1</v>
      </c>
    </row>
    <row r="493" spans="1:13">
      <c r="A493" t="s">
        <v>142</v>
      </c>
      <c r="B493" t="s">
        <v>124</v>
      </c>
      <c r="C493">
        <v>7.5</v>
      </c>
      <c r="D493">
        <v>3.75</v>
      </c>
      <c r="E493">
        <v>9.449183522425396E-05</v>
      </c>
      <c r="F493">
        <v>0.0001790610909487</v>
      </c>
      <c r="G493">
        <v>0.0009453970106096</v>
      </c>
      <c r="H493">
        <v>0</v>
      </c>
      <c r="J493" t="b">
        <v>1</v>
      </c>
      <c r="K493">
        <v>7.547968020678297</v>
      </c>
      <c r="L493" t="b">
        <v>1</v>
      </c>
      <c r="M493" t="b">
        <v>1</v>
      </c>
    </row>
    <row r="494" spans="1:13">
      <c r="A494" t="s">
        <v>142</v>
      </c>
      <c r="B494" t="s">
        <v>125</v>
      </c>
      <c r="C494">
        <v>7.5</v>
      </c>
      <c r="D494">
        <v>3.75</v>
      </c>
      <c r="E494">
        <v>0.0001839238093383</v>
      </c>
      <c r="F494">
        <v>0.000336228712553</v>
      </c>
      <c r="G494">
        <v>0.0009453970106096</v>
      </c>
      <c r="H494">
        <v>0</v>
      </c>
      <c r="J494" t="b">
        <v>1</v>
      </c>
      <c r="K494">
        <v>8.364421811480582</v>
      </c>
      <c r="L494" t="b">
        <v>1</v>
      </c>
      <c r="M494" t="b">
        <v>1</v>
      </c>
    </row>
    <row r="495" spans="1:13">
      <c r="A495" t="s">
        <v>142</v>
      </c>
      <c r="B495" t="s">
        <v>126</v>
      </c>
      <c r="C495">
        <v>7.5</v>
      </c>
      <c r="D495">
        <v>3.75</v>
      </c>
      <c r="E495">
        <v>0.0002916159304067</v>
      </c>
      <c r="F495">
        <v>0.000509091064517</v>
      </c>
      <c r="G495">
        <v>0.0009453970106096</v>
      </c>
      <c r="H495">
        <v>0</v>
      </c>
      <c r="J495" t="b">
        <v>1</v>
      </c>
      <c r="K495">
        <v>8.969467081609395</v>
      </c>
      <c r="L495" t="b">
        <v>1</v>
      </c>
      <c r="M495" t="b">
        <v>1</v>
      </c>
    </row>
    <row r="496" spans="1:13">
      <c r="A496" t="s">
        <v>142</v>
      </c>
      <c r="B496" t="s">
        <v>127</v>
      </c>
      <c r="C496">
        <v>7.5</v>
      </c>
      <c r="D496">
        <v>3.75</v>
      </c>
      <c r="E496">
        <v>0.0004175119615469</v>
      </c>
      <c r="F496">
        <v>0.0006861906734831</v>
      </c>
      <c r="G496">
        <v>0.0009453970106096</v>
      </c>
      <c r="H496">
        <v>0</v>
      </c>
      <c r="J496" t="b">
        <v>1</v>
      </c>
      <c r="K496">
        <v>9.463681691824632</v>
      </c>
      <c r="L496" t="b">
        <v>1</v>
      </c>
      <c r="M496" t="b">
        <v>1</v>
      </c>
    </row>
    <row r="497" spans="1:13">
      <c r="A497" t="s">
        <v>142</v>
      </c>
      <c r="B497" t="s">
        <v>128</v>
      </c>
      <c r="C497">
        <v>7.5</v>
      </c>
      <c r="D497">
        <v>3.75</v>
      </c>
      <c r="E497">
        <v>9.449183522425396E-05</v>
      </c>
      <c r="F497">
        <v>0.0001790610909487</v>
      </c>
      <c r="G497">
        <v>0.0009453970106096</v>
      </c>
      <c r="H497">
        <v>0</v>
      </c>
      <c r="J497" t="b">
        <v>1</v>
      </c>
      <c r="K497">
        <v>6.738948893135444</v>
      </c>
      <c r="L497" t="b">
        <v>1</v>
      </c>
      <c r="M497" t="b">
        <v>1</v>
      </c>
    </row>
    <row r="498" spans="1:13">
      <c r="A498" t="s">
        <v>142</v>
      </c>
      <c r="B498" t="s">
        <v>129</v>
      </c>
      <c r="C498">
        <v>7.5</v>
      </c>
      <c r="D498">
        <v>3.75</v>
      </c>
      <c r="E498">
        <v>0.0001839238093383</v>
      </c>
      <c r="F498">
        <v>0.000336228712553</v>
      </c>
      <c r="G498">
        <v>0.0009453970106096</v>
      </c>
      <c r="H498">
        <v>0</v>
      </c>
      <c r="J498" t="b">
        <v>1</v>
      </c>
      <c r="K498">
        <v>7.555424511047448</v>
      </c>
      <c r="L498" t="b">
        <v>1</v>
      </c>
      <c r="M498" t="b">
        <v>1</v>
      </c>
    </row>
    <row r="499" spans="1:13">
      <c r="A499" t="s">
        <v>142</v>
      </c>
      <c r="B499" t="s">
        <v>130</v>
      </c>
      <c r="C499">
        <v>7.5</v>
      </c>
      <c r="D499">
        <v>3.75</v>
      </c>
      <c r="E499">
        <v>0.0002916159304067</v>
      </c>
      <c r="F499">
        <v>0.000509091064517</v>
      </c>
      <c r="G499">
        <v>0.0009453970106096</v>
      </c>
      <c r="H499">
        <v>0</v>
      </c>
      <c r="J499" t="b">
        <v>1</v>
      </c>
      <c r="K499">
        <v>8.160944801864645</v>
      </c>
      <c r="L499" t="b">
        <v>1</v>
      </c>
      <c r="M499" t="b">
        <v>1</v>
      </c>
    </row>
    <row r="500" spans="1:13">
      <c r="A500" t="s">
        <v>142</v>
      </c>
      <c r="B500" t="s">
        <v>131</v>
      </c>
      <c r="C500">
        <v>7.5</v>
      </c>
      <c r="D500">
        <v>3.75</v>
      </c>
      <c r="E500">
        <v>0.0004175119615469</v>
      </c>
      <c r="F500">
        <v>0.0006861906734831</v>
      </c>
      <c r="G500">
        <v>0.0009453970106096</v>
      </c>
      <c r="H500">
        <v>0</v>
      </c>
      <c r="J500" t="b">
        <v>1</v>
      </c>
      <c r="K500">
        <v>8.654733011696081</v>
      </c>
      <c r="L500" t="b">
        <v>1</v>
      </c>
      <c r="M500" t="b">
        <v>1</v>
      </c>
    </row>
    <row r="501" spans="1:13">
      <c r="A501" t="s">
        <v>142</v>
      </c>
      <c r="B501" t="s">
        <v>132</v>
      </c>
      <c r="C501">
        <v>7.5</v>
      </c>
      <c r="D501">
        <v>3.75</v>
      </c>
      <c r="E501">
        <v>9.449183522425396E-05</v>
      </c>
      <c r="F501">
        <v>0.0001790610909487</v>
      </c>
      <c r="G501">
        <v>0.0009453970106096</v>
      </c>
      <c r="H501">
        <v>0</v>
      </c>
      <c r="J501" t="b">
        <v>1</v>
      </c>
      <c r="K501">
        <v>6.111381762188728</v>
      </c>
      <c r="L501" t="b">
        <v>1</v>
      </c>
      <c r="M501" t="b">
        <v>1</v>
      </c>
    </row>
    <row r="502" spans="1:13">
      <c r="A502" t="s">
        <v>142</v>
      </c>
      <c r="B502" t="s">
        <v>133</v>
      </c>
      <c r="C502">
        <v>7.5</v>
      </c>
      <c r="D502">
        <v>3.75</v>
      </c>
      <c r="E502">
        <v>0.0001839238093383</v>
      </c>
      <c r="F502">
        <v>0.000336228712553</v>
      </c>
      <c r="G502">
        <v>0.0009453970106096</v>
      </c>
      <c r="H502">
        <v>0</v>
      </c>
      <c r="J502" t="b">
        <v>1</v>
      </c>
      <c r="K502">
        <v>6.927880011482301</v>
      </c>
      <c r="L502" t="b">
        <v>1</v>
      </c>
      <c r="M502" t="b">
        <v>1</v>
      </c>
    </row>
    <row r="503" spans="1:13">
      <c r="A503" t="s">
        <v>142</v>
      </c>
      <c r="B503" t="s">
        <v>134</v>
      </c>
      <c r="C503">
        <v>7.5</v>
      </c>
      <c r="D503">
        <v>3.75</v>
      </c>
      <c r="E503">
        <v>0.0002916159304067</v>
      </c>
      <c r="F503">
        <v>0.000509091064517</v>
      </c>
      <c r="G503">
        <v>0.0009453970106096</v>
      </c>
      <c r="H503">
        <v>0</v>
      </c>
      <c r="J503" t="b">
        <v>1</v>
      </c>
      <c r="K503">
        <v>7.533319977483899</v>
      </c>
      <c r="L503" t="b">
        <v>1</v>
      </c>
      <c r="M503" t="b">
        <v>1</v>
      </c>
    </row>
    <row r="504" spans="1:13">
      <c r="A504" t="s">
        <v>142</v>
      </c>
      <c r="B504" t="s">
        <v>135</v>
      </c>
      <c r="C504">
        <v>7.5</v>
      </c>
      <c r="D504">
        <v>3.75</v>
      </c>
      <c r="E504">
        <v>0.0004175119615469</v>
      </c>
      <c r="F504">
        <v>0.0006861906734831</v>
      </c>
      <c r="G504">
        <v>0.0009453970106096</v>
      </c>
      <c r="H504">
        <v>0</v>
      </c>
      <c r="J504" t="b">
        <v>1</v>
      </c>
      <c r="K504">
        <v>8.027935978136824</v>
      </c>
      <c r="L504" t="b">
        <v>1</v>
      </c>
      <c r="M504" t="b">
        <v>1</v>
      </c>
    </row>
    <row r="505" spans="1:13">
      <c r="A505" t="s">
        <v>142</v>
      </c>
      <c r="B505" t="s">
        <v>136</v>
      </c>
      <c r="C505">
        <v>7.5</v>
      </c>
      <c r="D505">
        <v>3.75</v>
      </c>
      <c r="E505">
        <v>9.449183522425396E-05</v>
      </c>
      <c r="F505">
        <v>0.0001790610909487</v>
      </c>
      <c r="G505">
        <v>0.0009453970106096</v>
      </c>
      <c r="H505">
        <v>0</v>
      </c>
      <c r="J505" t="b">
        <v>1</v>
      </c>
      <c r="K505">
        <v>5.598578524734421</v>
      </c>
      <c r="L505" t="b">
        <v>1</v>
      </c>
      <c r="M505" t="b">
        <v>1</v>
      </c>
    </row>
    <row r="506" spans="1:13">
      <c r="A506" t="s">
        <v>142</v>
      </c>
      <c r="B506" t="s">
        <v>137</v>
      </c>
      <c r="C506">
        <v>7.5</v>
      </c>
      <c r="D506">
        <v>3.75</v>
      </c>
      <c r="E506">
        <v>0.0001839238093383</v>
      </c>
      <c r="F506">
        <v>0.000336228712553</v>
      </c>
      <c r="G506">
        <v>0.0009453970106096</v>
      </c>
      <c r="H506">
        <v>0</v>
      </c>
      <c r="J506" t="b">
        <v>1</v>
      </c>
      <c r="K506">
        <v>6.415712983545063</v>
      </c>
      <c r="L506" t="b">
        <v>1</v>
      </c>
      <c r="M506" t="b">
        <v>1</v>
      </c>
    </row>
    <row r="507" spans="1:13">
      <c r="A507" t="s">
        <v>142</v>
      </c>
      <c r="B507" t="s">
        <v>138</v>
      </c>
      <c r="C507">
        <v>7.5</v>
      </c>
      <c r="D507">
        <v>3.75</v>
      </c>
      <c r="E507">
        <v>0.0002916159304067</v>
      </c>
      <c r="F507">
        <v>0.000509091064517</v>
      </c>
      <c r="G507">
        <v>0.0009453970106096</v>
      </c>
      <c r="H507">
        <v>0</v>
      </c>
      <c r="J507" t="b">
        <v>1</v>
      </c>
      <c r="K507">
        <v>7.020867612797232</v>
      </c>
      <c r="L507" t="b">
        <v>1</v>
      </c>
      <c r="M507" t="b">
        <v>1</v>
      </c>
    </row>
    <row r="508" spans="1:13">
      <c r="A508" t="s">
        <v>142</v>
      </c>
      <c r="B508" t="s">
        <v>139</v>
      </c>
      <c r="C508">
        <v>7.5</v>
      </c>
      <c r="D508">
        <v>3.75</v>
      </c>
      <c r="E508">
        <v>0.0004175119615469</v>
      </c>
      <c r="F508">
        <v>0.0006861906734831</v>
      </c>
      <c r="G508">
        <v>0.0009453970106096</v>
      </c>
      <c r="H508">
        <v>0</v>
      </c>
      <c r="J508" t="b">
        <v>1</v>
      </c>
      <c r="K508">
        <v>7.515529330214932</v>
      </c>
      <c r="L508" t="b">
        <v>1</v>
      </c>
      <c r="M508" t="b">
        <v>1</v>
      </c>
    </row>
    <row r="509" spans="1:13">
      <c r="A509" t="s">
        <v>144</v>
      </c>
      <c r="B509" t="s">
        <v>116</v>
      </c>
      <c r="C509">
        <v>7.5</v>
      </c>
      <c r="D509">
        <v>3.75</v>
      </c>
      <c r="E509">
        <v>3.523889754180504E-05</v>
      </c>
      <c r="F509">
        <v>0</v>
      </c>
      <c r="G509">
        <v>3.523889754832389E-05</v>
      </c>
      <c r="H509">
        <v>0.0104337338685809</v>
      </c>
      <c r="I509">
        <v>3.75</v>
      </c>
      <c r="J509" t="b">
        <v>1</v>
      </c>
      <c r="K509">
        <v>15.68886483102006</v>
      </c>
      <c r="L509" t="b">
        <v>1</v>
      </c>
      <c r="M509" t="b">
        <v>1</v>
      </c>
    </row>
    <row r="510" spans="1:13">
      <c r="A510" t="s">
        <v>144</v>
      </c>
      <c r="B510" t="s">
        <v>117</v>
      </c>
      <c r="C510">
        <v>7.5</v>
      </c>
      <c r="D510">
        <v>3.75</v>
      </c>
      <c r="E510">
        <v>3.523889754180504E-05</v>
      </c>
      <c r="F510">
        <v>0</v>
      </c>
      <c r="G510">
        <v>3.523889754832389E-05</v>
      </c>
      <c r="H510">
        <v>0.0194620025908136</v>
      </c>
      <c r="I510">
        <v>3.75</v>
      </c>
      <c r="J510" t="b">
        <v>1</v>
      </c>
      <c r="K510">
        <v>15.58430468984113</v>
      </c>
      <c r="L510" t="b">
        <v>1</v>
      </c>
      <c r="M510" t="b">
        <v>1</v>
      </c>
    </row>
    <row r="511" spans="1:13">
      <c r="A511" t="s">
        <v>144</v>
      </c>
      <c r="B511" t="s">
        <v>118</v>
      </c>
      <c r="C511">
        <v>7.5</v>
      </c>
      <c r="D511">
        <v>3.75</v>
      </c>
      <c r="E511">
        <v>3.523889754180504E-05</v>
      </c>
      <c r="F511">
        <v>0</v>
      </c>
      <c r="G511">
        <v>3.523889754832389E-05</v>
      </c>
      <c r="H511">
        <v>0.029009504356253</v>
      </c>
      <c r="I511">
        <v>0</v>
      </c>
      <c r="J511" t="b">
        <v>1</v>
      </c>
      <c r="K511">
        <v>15.47647960544083</v>
      </c>
      <c r="L511" t="b">
        <v>1</v>
      </c>
      <c r="M511" t="b">
        <v>1</v>
      </c>
    </row>
    <row r="512" spans="1:13">
      <c r="A512" t="s">
        <v>144</v>
      </c>
      <c r="B512" t="s">
        <v>119</v>
      </c>
      <c r="C512">
        <v>7.5</v>
      </c>
      <c r="D512">
        <v>3.75</v>
      </c>
      <c r="E512">
        <v>3.523889754180504E-05</v>
      </c>
      <c r="F512">
        <v>0</v>
      </c>
      <c r="G512">
        <v>3.523889754832389E-05</v>
      </c>
      <c r="H512">
        <v>0.0384060089926805</v>
      </c>
      <c r="I512">
        <v>0</v>
      </c>
      <c r="J512" t="b">
        <v>1</v>
      </c>
      <c r="K512">
        <v>15.40734185866199</v>
      </c>
      <c r="L512" t="b">
        <v>1</v>
      </c>
      <c r="M512" t="b">
        <v>1</v>
      </c>
    </row>
    <row r="513" spans="1:13">
      <c r="A513" t="s">
        <v>144</v>
      </c>
      <c r="B513" t="s">
        <v>120</v>
      </c>
      <c r="C513">
        <v>7.5</v>
      </c>
      <c r="D513">
        <v>3.75</v>
      </c>
      <c r="E513">
        <v>3.523889754180504E-05</v>
      </c>
      <c r="F513">
        <v>0</v>
      </c>
      <c r="G513">
        <v>3.523889754832389E-05</v>
      </c>
      <c r="H513">
        <v>0.0139815997489307</v>
      </c>
      <c r="I513">
        <v>3.75</v>
      </c>
      <c r="J513" t="b">
        <v>1</v>
      </c>
      <c r="K513">
        <v>14.04785891174782</v>
      </c>
      <c r="L513" t="b">
        <v>1</v>
      </c>
      <c r="M513" t="b">
        <v>1</v>
      </c>
    </row>
    <row r="514" spans="1:13">
      <c r="A514" t="s">
        <v>144</v>
      </c>
      <c r="B514" t="s">
        <v>121</v>
      </c>
      <c r="C514">
        <v>7.5</v>
      </c>
      <c r="D514">
        <v>3.75</v>
      </c>
      <c r="E514">
        <v>3.523889754180504E-05</v>
      </c>
      <c r="F514">
        <v>0</v>
      </c>
      <c r="G514">
        <v>3.523889754832389E-05</v>
      </c>
      <c r="H514">
        <v>0.0260002636036205</v>
      </c>
      <c r="I514">
        <v>3.75</v>
      </c>
      <c r="J514" t="b">
        <v>1</v>
      </c>
      <c r="K514">
        <v>13.94530678035295</v>
      </c>
      <c r="L514" t="b">
        <v>1</v>
      </c>
      <c r="M514" t="b">
        <v>1</v>
      </c>
    </row>
    <row r="515" spans="1:13">
      <c r="A515" t="s">
        <v>144</v>
      </c>
      <c r="B515" t="s">
        <v>122</v>
      </c>
      <c r="C515">
        <v>7.5</v>
      </c>
      <c r="D515">
        <v>3.75</v>
      </c>
      <c r="E515">
        <v>3.523889754180504E-05</v>
      </c>
      <c r="F515">
        <v>0</v>
      </c>
      <c r="G515">
        <v>3.523889754832389E-05</v>
      </c>
      <c r="H515">
        <v>0.038691623859961</v>
      </c>
      <c r="I515">
        <v>3.75</v>
      </c>
      <c r="J515" t="b">
        <v>1</v>
      </c>
      <c r="K515">
        <v>13.85280053642717</v>
      </c>
      <c r="L515" t="b">
        <v>1</v>
      </c>
      <c r="M515" t="b">
        <v>1</v>
      </c>
    </row>
    <row r="516" spans="1:13">
      <c r="A516" t="s">
        <v>144</v>
      </c>
      <c r="B516" t="s">
        <v>123</v>
      </c>
      <c r="C516">
        <v>7.5</v>
      </c>
      <c r="D516">
        <v>3.75</v>
      </c>
      <c r="E516">
        <v>3.523889754180504E-05</v>
      </c>
      <c r="F516">
        <v>0</v>
      </c>
      <c r="G516">
        <v>3.523889754832389E-05</v>
      </c>
      <c r="H516">
        <v>0.0506372077930876</v>
      </c>
      <c r="I516">
        <v>3.75</v>
      </c>
      <c r="J516" t="b">
        <v>1</v>
      </c>
      <c r="K516">
        <v>13.77680025243464</v>
      </c>
      <c r="L516" t="b">
        <v>1</v>
      </c>
      <c r="M516" t="b">
        <v>1</v>
      </c>
    </row>
    <row r="517" spans="1:13">
      <c r="A517" t="s">
        <v>144</v>
      </c>
      <c r="B517" t="s">
        <v>124</v>
      </c>
      <c r="C517">
        <v>7.5</v>
      </c>
      <c r="D517">
        <v>3.75</v>
      </c>
      <c r="E517">
        <v>3.523889759117961E-05</v>
      </c>
      <c r="F517">
        <v>0</v>
      </c>
      <c r="G517">
        <v>3.523889754832389E-05</v>
      </c>
      <c r="H517">
        <v>0.0164003314405505</v>
      </c>
      <c r="I517">
        <v>3.75</v>
      </c>
      <c r="J517" t="b">
        <v>1</v>
      </c>
      <c r="K517">
        <v>13.08993301583001</v>
      </c>
      <c r="L517" t="b">
        <v>1</v>
      </c>
      <c r="M517" t="b">
        <v>1</v>
      </c>
    </row>
    <row r="518" spans="1:13">
      <c r="A518" t="s">
        <v>144</v>
      </c>
      <c r="B518" t="s">
        <v>125</v>
      </c>
      <c r="C518">
        <v>7.5</v>
      </c>
      <c r="D518">
        <v>3.75</v>
      </c>
      <c r="E518">
        <v>3.523889759117961E-05</v>
      </c>
      <c r="F518">
        <v>0</v>
      </c>
      <c r="G518">
        <v>3.523889754832389E-05</v>
      </c>
      <c r="H518">
        <v>0.0301488158028604</v>
      </c>
      <c r="I518">
        <v>3.75</v>
      </c>
      <c r="J518" t="b">
        <v>1</v>
      </c>
      <c r="K518">
        <v>12.96815507044471</v>
      </c>
      <c r="L518" t="b">
        <v>1</v>
      </c>
      <c r="M518" t="b">
        <v>1</v>
      </c>
    </row>
    <row r="519" spans="1:13">
      <c r="A519" t="s">
        <v>144</v>
      </c>
      <c r="B519" t="s">
        <v>126</v>
      </c>
      <c r="C519">
        <v>7.5</v>
      </c>
      <c r="D519">
        <v>3.75</v>
      </c>
      <c r="E519">
        <v>3.523889759117961E-05</v>
      </c>
      <c r="F519">
        <v>0</v>
      </c>
      <c r="G519">
        <v>3.523889754832389E-05</v>
      </c>
      <c r="H519">
        <v>0.0442304207337542</v>
      </c>
      <c r="I519">
        <v>3.75</v>
      </c>
      <c r="J519" t="b">
        <v>1</v>
      </c>
      <c r="K519">
        <v>12.87126016647875</v>
      </c>
      <c r="L519" t="b">
        <v>1</v>
      </c>
      <c r="M519" t="b">
        <v>1</v>
      </c>
    </row>
    <row r="520" spans="1:13">
      <c r="A520" t="s">
        <v>144</v>
      </c>
      <c r="B520" t="s">
        <v>127</v>
      </c>
      <c r="C520">
        <v>7.5</v>
      </c>
      <c r="D520">
        <v>3.75</v>
      </c>
      <c r="E520">
        <v>3.523889759105888E-05</v>
      </c>
      <c r="F520">
        <v>0</v>
      </c>
      <c r="G520">
        <v>3.523889754832389E-05</v>
      </c>
      <c r="H520">
        <v>0.056691176130414</v>
      </c>
      <c r="I520">
        <v>0</v>
      </c>
      <c r="J520" t="b">
        <v>1</v>
      </c>
      <c r="K520">
        <v>12.80000956008465</v>
      </c>
      <c r="L520" t="b">
        <v>1</v>
      </c>
      <c r="M520" t="b">
        <v>1</v>
      </c>
    </row>
    <row r="521" spans="1:13">
      <c r="A521" t="s">
        <v>144</v>
      </c>
      <c r="B521" t="s">
        <v>128</v>
      </c>
      <c r="C521">
        <v>7.5</v>
      </c>
      <c r="D521">
        <v>3.75</v>
      </c>
      <c r="E521">
        <v>3.523889759117961E-05</v>
      </c>
      <c r="F521">
        <v>0</v>
      </c>
      <c r="G521">
        <v>3.523889754832389E-05</v>
      </c>
      <c r="H521">
        <v>0.0183283620956729</v>
      </c>
      <c r="I521">
        <v>0</v>
      </c>
      <c r="J521" t="b">
        <v>1</v>
      </c>
      <c r="K521">
        <v>12.41350412845037</v>
      </c>
      <c r="L521" t="b">
        <v>1</v>
      </c>
      <c r="M521" t="b">
        <v>1</v>
      </c>
    </row>
    <row r="522" spans="1:13">
      <c r="A522" t="s">
        <v>144</v>
      </c>
      <c r="B522" t="s">
        <v>129</v>
      </c>
      <c r="C522">
        <v>7.5</v>
      </c>
      <c r="D522">
        <v>3.75</v>
      </c>
      <c r="E522">
        <v>3.523889759117961E-05</v>
      </c>
      <c r="F522">
        <v>0</v>
      </c>
      <c r="G522">
        <v>3.523889754832389E-05</v>
      </c>
      <c r="H522">
        <v>0.0333909439086426</v>
      </c>
      <c r="I522">
        <v>3.75</v>
      </c>
      <c r="J522" t="b">
        <v>1</v>
      </c>
      <c r="K522">
        <v>12.28806753943701</v>
      </c>
      <c r="L522" t="b">
        <v>1</v>
      </c>
      <c r="M522" t="b">
        <v>1</v>
      </c>
    </row>
    <row r="523" spans="1:13">
      <c r="A523" t="s">
        <v>144</v>
      </c>
      <c r="B523" t="s">
        <v>130</v>
      </c>
      <c r="C523">
        <v>7.5</v>
      </c>
      <c r="D523">
        <v>3.75</v>
      </c>
      <c r="E523">
        <v>3.523889759105888E-05</v>
      </c>
      <c r="F523">
        <v>0</v>
      </c>
      <c r="G523">
        <v>3.523889754832389E-05</v>
      </c>
      <c r="H523">
        <v>0.0483245809196439</v>
      </c>
      <c r="I523">
        <v>3.75</v>
      </c>
      <c r="J523" t="b">
        <v>1</v>
      </c>
      <c r="K523">
        <v>12.1852983443695</v>
      </c>
      <c r="L523" t="b">
        <v>1</v>
      </c>
      <c r="M523" t="b">
        <v>1</v>
      </c>
    </row>
    <row r="524" spans="1:13">
      <c r="A524" t="s">
        <v>144</v>
      </c>
      <c r="B524" t="s">
        <v>131</v>
      </c>
      <c r="C524">
        <v>7.5</v>
      </c>
      <c r="D524">
        <v>3.75</v>
      </c>
      <c r="E524">
        <v>0.0014508575548517</v>
      </c>
      <c r="F524">
        <v>0</v>
      </c>
      <c r="G524">
        <v>3.523889754832389E-05</v>
      </c>
      <c r="H524">
        <v>0.0606842071414543</v>
      </c>
      <c r="I524">
        <v>3.75</v>
      </c>
      <c r="J524" t="b">
        <v>1</v>
      </c>
      <c r="K524">
        <v>12.11822021717595</v>
      </c>
      <c r="L524" t="b">
        <v>1</v>
      </c>
      <c r="M524" t="b">
        <v>1</v>
      </c>
    </row>
    <row r="525" spans="1:13">
      <c r="A525" t="s">
        <v>144</v>
      </c>
      <c r="B525" t="s">
        <v>132</v>
      </c>
      <c r="C525">
        <v>7.5</v>
      </c>
      <c r="D525">
        <v>3.75</v>
      </c>
      <c r="E525">
        <v>0.0027252921404902</v>
      </c>
      <c r="F525">
        <v>0</v>
      </c>
      <c r="G525">
        <v>3.523889754832389E-05</v>
      </c>
      <c r="H525">
        <v>0.0198559173721619</v>
      </c>
      <c r="I525">
        <v>0</v>
      </c>
      <c r="J525" t="b">
        <v>1</v>
      </c>
      <c r="K525">
        <v>11.86482760316778</v>
      </c>
      <c r="L525" t="b">
        <v>1</v>
      </c>
      <c r="M525" t="b">
        <v>1</v>
      </c>
    </row>
    <row r="526" spans="1:13">
      <c r="A526" t="s">
        <v>144</v>
      </c>
      <c r="B526" t="s">
        <v>133</v>
      </c>
      <c r="C526">
        <v>7.5</v>
      </c>
      <c r="D526">
        <v>3.75</v>
      </c>
      <c r="E526">
        <v>0.0030862237580829</v>
      </c>
      <c r="F526">
        <v>0</v>
      </c>
      <c r="G526">
        <v>3.523889754832389E-05</v>
      </c>
      <c r="H526">
        <v>0.0359095597320209</v>
      </c>
      <c r="I526">
        <v>3.75</v>
      </c>
      <c r="J526" t="b">
        <v>1</v>
      </c>
      <c r="K526">
        <v>11.75233932008268</v>
      </c>
      <c r="L526" t="b">
        <v>1</v>
      </c>
      <c r="M526" t="b">
        <v>1</v>
      </c>
    </row>
    <row r="527" spans="1:13">
      <c r="A527" t="s">
        <v>144</v>
      </c>
      <c r="B527" t="s">
        <v>134</v>
      </c>
      <c r="C527">
        <v>7.5</v>
      </c>
      <c r="D527">
        <v>3.75</v>
      </c>
      <c r="E527">
        <v>0.0001807730283503</v>
      </c>
      <c r="F527">
        <v>0.0003414721725708</v>
      </c>
      <c r="G527">
        <v>3.523889754832389E-05</v>
      </c>
      <c r="H527">
        <v>0</v>
      </c>
      <c r="J527" t="b">
        <v>1</v>
      </c>
      <c r="K527">
        <v>8.289771416367131</v>
      </c>
      <c r="L527" t="b">
        <v>1</v>
      </c>
      <c r="M527" t="b">
        <v>1</v>
      </c>
    </row>
    <row r="528" spans="1:13">
      <c r="A528" t="s">
        <v>144</v>
      </c>
      <c r="B528" t="s">
        <v>135</v>
      </c>
      <c r="C528">
        <v>7.5</v>
      </c>
      <c r="D528">
        <v>3.75</v>
      </c>
      <c r="E528">
        <v>0.000250707607415</v>
      </c>
      <c r="F528">
        <v>0.0004620804764193</v>
      </c>
      <c r="G528">
        <v>3.523889754832389E-05</v>
      </c>
      <c r="H528">
        <v>0</v>
      </c>
      <c r="J528" t="b">
        <v>1</v>
      </c>
      <c r="K528">
        <v>8.791888618763011</v>
      </c>
      <c r="L528" t="b">
        <v>1</v>
      </c>
      <c r="M528" t="b">
        <v>1</v>
      </c>
    </row>
    <row r="529" spans="1:13">
      <c r="A529" t="s">
        <v>144</v>
      </c>
      <c r="B529" t="s">
        <v>136</v>
      </c>
      <c r="C529">
        <v>7.5</v>
      </c>
      <c r="D529">
        <v>3.75</v>
      </c>
      <c r="E529">
        <v>6.076343263334143E-05</v>
      </c>
      <c r="F529">
        <v>0.0001187152793552</v>
      </c>
      <c r="G529">
        <v>3.523889754832389E-05</v>
      </c>
      <c r="H529">
        <v>0</v>
      </c>
      <c r="J529" t="b">
        <v>1</v>
      </c>
      <c r="K529">
        <v>6.339409220326786</v>
      </c>
      <c r="L529" t="b">
        <v>1</v>
      </c>
      <c r="M529" t="b">
        <v>1</v>
      </c>
    </row>
    <row r="530" spans="1:13">
      <c r="A530" t="s">
        <v>144</v>
      </c>
      <c r="B530" t="s">
        <v>137</v>
      </c>
      <c r="C530">
        <v>7.5</v>
      </c>
      <c r="D530">
        <v>3.75</v>
      </c>
      <c r="E530">
        <v>0.0001162258003687</v>
      </c>
      <c r="F530">
        <v>0.0002237118627887</v>
      </c>
      <c r="G530">
        <v>3.523889754832389E-05</v>
      </c>
      <c r="H530">
        <v>0</v>
      </c>
      <c r="J530" t="b">
        <v>1</v>
      </c>
      <c r="K530">
        <v>7.163196500221858</v>
      </c>
      <c r="L530" t="b">
        <v>1</v>
      </c>
      <c r="M530" t="b">
        <v>1</v>
      </c>
    </row>
    <row r="531" spans="1:13">
      <c r="A531" t="s">
        <v>144</v>
      </c>
      <c r="B531" t="s">
        <v>138</v>
      </c>
      <c r="C531">
        <v>7.5</v>
      </c>
      <c r="D531">
        <v>3.75</v>
      </c>
      <c r="E531">
        <v>0.0001807730283503</v>
      </c>
      <c r="F531">
        <v>0.0003414721725708</v>
      </c>
      <c r="G531">
        <v>3.523889754832389E-05</v>
      </c>
      <c r="H531">
        <v>0</v>
      </c>
      <c r="J531" t="b">
        <v>1</v>
      </c>
      <c r="K531">
        <v>7.777032392615979</v>
      </c>
      <c r="L531" t="b">
        <v>1</v>
      </c>
      <c r="M531" t="b">
        <v>1</v>
      </c>
    </row>
    <row r="532" spans="1:13">
      <c r="A532" t="s">
        <v>144</v>
      </c>
      <c r="B532" t="s">
        <v>139</v>
      </c>
      <c r="C532">
        <v>7.5</v>
      </c>
      <c r="D532">
        <v>3.75</v>
      </c>
      <c r="E532">
        <v>0.000250707607415</v>
      </c>
      <c r="F532">
        <v>0.0004620804764193</v>
      </c>
      <c r="G532">
        <v>3.523889754832389E-05</v>
      </c>
      <c r="H532">
        <v>0</v>
      </c>
      <c r="J532" t="b">
        <v>1</v>
      </c>
      <c r="K532">
        <v>8.279768489080652</v>
      </c>
      <c r="L532" t="b">
        <v>1</v>
      </c>
      <c r="M532" t="b">
        <v>1</v>
      </c>
    </row>
    <row r="533" spans="1:13">
      <c r="A533" t="s">
        <v>145</v>
      </c>
      <c r="B533" t="s">
        <v>116</v>
      </c>
      <c r="C533">
        <v>7.5</v>
      </c>
      <c r="D533">
        <v>3.75</v>
      </c>
      <c r="E533">
        <v>0.0006130301704382</v>
      </c>
      <c r="F533">
        <v>0</v>
      </c>
      <c r="G533">
        <v>0.0006130301704437</v>
      </c>
      <c r="H533">
        <v>0.0094772757360033</v>
      </c>
      <c r="I533">
        <v>0</v>
      </c>
      <c r="J533" t="b">
        <v>1</v>
      </c>
      <c r="K533">
        <v>14.90907414326728</v>
      </c>
      <c r="L533" t="b">
        <v>1</v>
      </c>
      <c r="M533" t="b">
        <v>1</v>
      </c>
    </row>
    <row r="534" spans="1:13">
      <c r="A534" t="s">
        <v>145</v>
      </c>
      <c r="B534" t="s">
        <v>117</v>
      </c>
      <c r="C534">
        <v>7.5</v>
      </c>
      <c r="D534">
        <v>3.75</v>
      </c>
      <c r="E534">
        <v>0.0006130301704382</v>
      </c>
      <c r="F534">
        <v>0</v>
      </c>
      <c r="G534">
        <v>0.0006130301704437</v>
      </c>
      <c r="H534">
        <v>0.0174546057805855</v>
      </c>
      <c r="I534">
        <v>0</v>
      </c>
      <c r="J534" t="b">
        <v>1</v>
      </c>
      <c r="K534">
        <v>14.80412571244472</v>
      </c>
      <c r="L534" t="b">
        <v>1</v>
      </c>
      <c r="M534" t="b">
        <v>1</v>
      </c>
    </row>
    <row r="535" spans="1:13">
      <c r="A535" t="s">
        <v>145</v>
      </c>
      <c r="B535" t="s">
        <v>118</v>
      </c>
      <c r="C535">
        <v>7.5</v>
      </c>
      <c r="D535">
        <v>3.75</v>
      </c>
      <c r="E535">
        <v>0.0006130301704382</v>
      </c>
      <c r="F535">
        <v>0</v>
      </c>
      <c r="G535">
        <v>0.0006130301704437</v>
      </c>
      <c r="H535">
        <v>0.0258920493736241</v>
      </c>
      <c r="I535">
        <v>3.75</v>
      </c>
      <c r="J535" t="b">
        <v>1</v>
      </c>
      <c r="K535">
        <v>14.71435311270994</v>
      </c>
      <c r="L535" t="b">
        <v>1</v>
      </c>
      <c r="M535" t="b">
        <v>1</v>
      </c>
    </row>
    <row r="536" spans="1:13">
      <c r="A536" t="s">
        <v>145</v>
      </c>
      <c r="B536" t="s">
        <v>119</v>
      </c>
      <c r="C536">
        <v>7.5</v>
      </c>
      <c r="D536">
        <v>3.75</v>
      </c>
      <c r="E536">
        <v>0.0006130301704382</v>
      </c>
      <c r="F536">
        <v>0</v>
      </c>
      <c r="G536">
        <v>0.0006130301704437</v>
      </c>
      <c r="H536">
        <v>0.0340973786222633</v>
      </c>
      <c r="I536">
        <v>0</v>
      </c>
      <c r="J536" t="b">
        <v>1</v>
      </c>
      <c r="K536">
        <v>14.66250958612463</v>
      </c>
      <c r="L536" t="b">
        <v>1</v>
      </c>
      <c r="M536" t="b">
        <v>1</v>
      </c>
    </row>
    <row r="537" spans="1:13">
      <c r="A537" t="s">
        <v>145</v>
      </c>
      <c r="B537" t="s">
        <v>120</v>
      </c>
      <c r="C537">
        <v>7.5</v>
      </c>
      <c r="D537">
        <v>3.75</v>
      </c>
      <c r="E537">
        <v>0.0006264847726413</v>
      </c>
      <c r="F537">
        <v>0</v>
      </c>
      <c r="G537">
        <v>0.0006130301704437</v>
      </c>
      <c r="H537">
        <v>0.0125360652197628</v>
      </c>
      <c r="I537">
        <v>3.75</v>
      </c>
      <c r="J537" t="b">
        <v>1</v>
      </c>
      <c r="K537">
        <v>13.26948979455551</v>
      </c>
      <c r="L537" t="b">
        <v>1</v>
      </c>
      <c r="M537" t="b">
        <v>1</v>
      </c>
    </row>
    <row r="538" spans="1:13">
      <c r="A538" t="s">
        <v>145</v>
      </c>
      <c r="B538" t="s">
        <v>121</v>
      </c>
      <c r="C538">
        <v>7.5</v>
      </c>
      <c r="D538">
        <v>3.75</v>
      </c>
      <c r="E538">
        <v>0.0006490852300354</v>
      </c>
      <c r="F538">
        <v>0</v>
      </c>
      <c r="G538">
        <v>0.0006130301704437</v>
      </c>
      <c r="H538">
        <v>0.0230722329035018</v>
      </c>
      <c r="I538">
        <v>3.75</v>
      </c>
      <c r="J538" t="b">
        <v>1</v>
      </c>
      <c r="K538">
        <v>13.19234999138956</v>
      </c>
      <c r="L538" t="b">
        <v>1</v>
      </c>
      <c r="M538" t="b">
        <v>1</v>
      </c>
    </row>
    <row r="539" spans="1:13">
      <c r="A539" t="s">
        <v>145</v>
      </c>
      <c r="B539" t="s">
        <v>122</v>
      </c>
      <c r="C539">
        <v>7.5</v>
      </c>
      <c r="D539">
        <v>3.75</v>
      </c>
      <c r="E539">
        <v>0.0006643971661545</v>
      </c>
      <c r="F539">
        <v>0</v>
      </c>
      <c r="G539">
        <v>0.0006130301704437</v>
      </c>
      <c r="H539">
        <v>0.033848491515755</v>
      </c>
      <c r="I539">
        <v>3.75</v>
      </c>
      <c r="J539" t="b">
        <v>1</v>
      </c>
      <c r="K539">
        <v>13.10152550209054</v>
      </c>
      <c r="L539" t="b">
        <v>1</v>
      </c>
      <c r="M539" t="b">
        <v>1</v>
      </c>
    </row>
    <row r="540" spans="1:13">
      <c r="A540" t="s">
        <v>145</v>
      </c>
      <c r="B540" t="s">
        <v>123</v>
      </c>
      <c r="C540">
        <v>7.5</v>
      </c>
      <c r="D540">
        <v>3.75</v>
      </c>
      <c r="E540">
        <v>0.0006762769933089</v>
      </c>
      <c r="F540">
        <v>0</v>
      </c>
      <c r="G540">
        <v>0.0006130301704437</v>
      </c>
      <c r="H540">
        <v>0.0440204976202238</v>
      </c>
      <c r="I540">
        <v>3.75</v>
      </c>
      <c r="J540" t="b">
        <v>1</v>
      </c>
      <c r="K540">
        <v>13.05272809011697</v>
      </c>
      <c r="L540" t="b">
        <v>1</v>
      </c>
      <c r="M540" t="b">
        <v>1</v>
      </c>
    </row>
    <row r="541" spans="1:13">
      <c r="A541" t="s">
        <v>145</v>
      </c>
      <c r="B541" t="s">
        <v>124</v>
      </c>
      <c r="C541">
        <v>7.5</v>
      </c>
      <c r="D541">
        <v>3.75</v>
      </c>
      <c r="E541">
        <v>0.0014861580454162</v>
      </c>
      <c r="F541">
        <v>0</v>
      </c>
      <c r="G541">
        <v>0.0006130301704437</v>
      </c>
      <c r="H541">
        <v>0.0145726952014086</v>
      </c>
      <c r="I541">
        <v>0</v>
      </c>
      <c r="J541" t="b">
        <v>1</v>
      </c>
      <c r="K541">
        <v>12.32449190913343</v>
      </c>
      <c r="L541" t="b">
        <v>1</v>
      </c>
      <c r="M541" t="b">
        <v>1</v>
      </c>
    </row>
    <row r="542" spans="1:13">
      <c r="A542" t="s">
        <v>145</v>
      </c>
      <c r="B542" t="s">
        <v>125</v>
      </c>
      <c r="C542">
        <v>7.5</v>
      </c>
      <c r="D542">
        <v>3.75</v>
      </c>
      <c r="E542">
        <v>0.0016046593535152</v>
      </c>
      <c r="F542">
        <v>0</v>
      </c>
      <c r="G542">
        <v>0.0006130301704437</v>
      </c>
      <c r="H542">
        <v>0.0262419890690779</v>
      </c>
      <c r="I542">
        <v>0</v>
      </c>
      <c r="J542" t="b">
        <v>1</v>
      </c>
      <c r="K542">
        <v>12.20897371285758</v>
      </c>
      <c r="L542" t="b">
        <v>1</v>
      </c>
      <c r="M542" t="b">
        <v>1</v>
      </c>
    </row>
    <row r="543" spans="1:13">
      <c r="A543" t="s">
        <v>145</v>
      </c>
      <c r="B543" t="s">
        <v>126</v>
      </c>
      <c r="C543">
        <v>7.5</v>
      </c>
      <c r="D543">
        <v>3.75</v>
      </c>
      <c r="E543">
        <v>0.000710968998373</v>
      </c>
      <c r="F543">
        <v>0</v>
      </c>
      <c r="G543">
        <v>0.0006130301704437</v>
      </c>
      <c r="H543">
        <v>0.0379898391216428</v>
      </c>
      <c r="I543">
        <v>3.75</v>
      </c>
      <c r="J543" t="b">
        <v>1</v>
      </c>
      <c r="K543">
        <v>12.14228744608974</v>
      </c>
      <c r="L543" t="b">
        <v>1</v>
      </c>
      <c r="M543" t="b">
        <v>1</v>
      </c>
    </row>
    <row r="544" spans="1:13">
      <c r="A544" t="s">
        <v>145</v>
      </c>
      <c r="B544" t="s">
        <v>127</v>
      </c>
      <c r="C544">
        <v>7.5</v>
      </c>
      <c r="D544">
        <v>3.75</v>
      </c>
      <c r="E544">
        <v>0.0020547613014729</v>
      </c>
      <c r="F544">
        <v>0</v>
      </c>
      <c r="G544">
        <v>0.0006130301704437</v>
      </c>
      <c r="H544">
        <v>0.0484026865727358</v>
      </c>
      <c r="I544">
        <v>0</v>
      </c>
      <c r="J544" t="b">
        <v>1</v>
      </c>
      <c r="K544">
        <v>12.12167890669633</v>
      </c>
      <c r="L544" t="b">
        <v>1</v>
      </c>
      <c r="M544" t="b">
        <v>1</v>
      </c>
    </row>
    <row r="545" spans="1:13">
      <c r="A545" t="s">
        <v>145</v>
      </c>
      <c r="B545" t="s">
        <v>128</v>
      </c>
      <c r="C545">
        <v>7.5</v>
      </c>
      <c r="D545">
        <v>3.75</v>
      </c>
      <c r="E545">
        <v>0.0021028617749809</v>
      </c>
      <c r="F545">
        <v>0</v>
      </c>
      <c r="G545">
        <v>0.0006130301704437</v>
      </c>
      <c r="H545">
        <v>0.0160282670052041</v>
      </c>
      <c r="I545">
        <v>0</v>
      </c>
      <c r="J545" t="b">
        <v>1</v>
      </c>
      <c r="K545">
        <v>11.63175669871634</v>
      </c>
      <c r="L545" t="b">
        <v>1</v>
      </c>
      <c r="M545" t="b">
        <v>1</v>
      </c>
    </row>
    <row r="546" spans="1:13">
      <c r="A546" t="s">
        <v>145</v>
      </c>
      <c r="B546" t="s">
        <v>129</v>
      </c>
      <c r="C546">
        <v>7.5</v>
      </c>
      <c r="D546">
        <v>3.75</v>
      </c>
      <c r="E546">
        <v>0.0022220255745273</v>
      </c>
      <c r="F546">
        <v>0</v>
      </c>
      <c r="G546">
        <v>0.0006130301704437</v>
      </c>
      <c r="H546">
        <v>0.0285166812099859</v>
      </c>
      <c r="I546">
        <v>0</v>
      </c>
      <c r="J546" t="b">
        <v>1</v>
      </c>
      <c r="K546">
        <v>11.52758707929635</v>
      </c>
      <c r="L546" t="b">
        <v>1</v>
      </c>
      <c r="M546" t="b">
        <v>1</v>
      </c>
    </row>
    <row r="547" spans="1:13">
      <c r="A547" t="s">
        <v>145</v>
      </c>
      <c r="B547" t="s">
        <v>130</v>
      </c>
      <c r="C547">
        <v>7.5</v>
      </c>
      <c r="D547">
        <v>3.75</v>
      </c>
      <c r="E547">
        <v>0.0008594638604603</v>
      </c>
      <c r="F547">
        <v>0</v>
      </c>
      <c r="G547">
        <v>0.0006130301704437</v>
      </c>
      <c r="H547">
        <v>0.0402338594303692</v>
      </c>
      <c r="I547">
        <v>3.75</v>
      </c>
      <c r="J547" t="b">
        <v>1</v>
      </c>
      <c r="K547">
        <v>11.45458938028767</v>
      </c>
      <c r="L547" t="b">
        <v>1</v>
      </c>
      <c r="M547" t="b">
        <v>1</v>
      </c>
    </row>
    <row r="548" spans="1:13">
      <c r="A548" t="s">
        <v>145</v>
      </c>
      <c r="B548" t="s">
        <v>131</v>
      </c>
      <c r="C548">
        <v>7.5</v>
      </c>
      <c r="D548">
        <v>3.75</v>
      </c>
      <c r="E548">
        <v>0.0030114884977401</v>
      </c>
      <c r="F548">
        <v>0</v>
      </c>
      <c r="G548">
        <v>0.0006130301704437</v>
      </c>
      <c r="H548">
        <v>0.0495934254127687</v>
      </c>
      <c r="I548">
        <v>0</v>
      </c>
      <c r="J548" t="b">
        <v>1</v>
      </c>
      <c r="K548">
        <v>11.47566675147047</v>
      </c>
      <c r="L548" t="b">
        <v>1</v>
      </c>
      <c r="M548" t="b">
        <v>1</v>
      </c>
    </row>
    <row r="549" spans="1:13">
      <c r="A549" t="s">
        <v>145</v>
      </c>
      <c r="B549" t="s">
        <v>132</v>
      </c>
      <c r="C549">
        <v>7.5</v>
      </c>
      <c r="D549">
        <v>3.75</v>
      </c>
      <c r="E549">
        <v>0.0007922300301678</v>
      </c>
      <c r="F549">
        <v>0</v>
      </c>
      <c r="G549">
        <v>0.0006130301704437</v>
      </c>
      <c r="H549">
        <v>0.0172056088527661</v>
      </c>
      <c r="I549">
        <v>3.75</v>
      </c>
      <c r="J549" t="b">
        <v>1</v>
      </c>
      <c r="K549">
        <v>11.10561595684914</v>
      </c>
      <c r="L549" t="b">
        <v>1</v>
      </c>
      <c r="M549" t="b">
        <v>1</v>
      </c>
    </row>
    <row r="550" spans="1:13">
      <c r="A550" t="s">
        <v>145</v>
      </c>
      <c r="B550" t="s">
        <v>133</v>
      </c>
      <c r="C550">
        <v>7.5</v>
      </c>
      <c r="D550">
        <v>3.75</v>
      </c>
      <c r="E550">
        <v>0.0044666777197664</v>
      </c>
      <c r="F550">
        <v>0</v>
      </c>
      <c r="G550">
        <v>0.0006130301704437</v>
      </c>
      <c r="H550">
        <v>0.029926112812026</v>
      </c>
      <c r="I550">
        <v>0</v>
      </c>
      <c r="J550" t="b">
        <v>1</v>
      </c>
      <c r="K550">
        <v>10.98824402298746</v>
      </c>
      <c r="L550" t="b">
        <v>1</v>
      </c>
      <c r="M550" t="b">
        <v>1</v>
      </c>
    </row>
    <row r="551" spans="1:13">
      <c r="A551" t="s">
        <v>145</v>
      </c>
      <c r="B551" t="s">
        <v>134</v>
      </c>
      <c r="C551">
        <v>7.5</v>
      </c>
      <c r="D551">
        <v>3.75</v>
      </c>
      <c r="E551">
        <v>0.0001465532800217</v>
      </c>
      <c r="F551">
        <v>0.000276671474659</v>
      </c>
      <c r="G551">
        <v>0.0006130301704437</v>
      </c>
      <c r="H551">
        <v>0</v>
      </c>
      <c r="J551" t="b">
        <v>1</v>
      </c>
      <c r="K551">
        <v>8.221117801529232</v>
      </c>
      <c r="L551" t="b">
        <v>1</v>
      </c>
      <c r="M551" t="b">
        <v>1</v>
      </c>
    </row>
    <row r="552" spans="1:13">
      <c r="A552" t="s">
        <v>145</v>
      </c>
      <c r="B552" t="s">
        <v>135</v>
      </c>
      <c r="C552">
        <v>7.5</v>
      </c>
      <c r="D552">
        <v>3.75</v>
      </c>
      <c r="E552">
        <v>0.0002022936998947</v>
      </c>
      <c r="F552">
        <v>0.0003723732449027</v>
      </c>
      <c r="G552">
        <v>0.0006130301704437</v>
      </c>
      <c r="H552">
        <v>0</v>
      </c>
      <c r="J552" t="b">
        <v>1</v>
      </c>
      <c r="K552">
        <v>8.722483148831728</v>
      </c>
      <c r="L552" t="b">
        <v>1</v>
      </c>
      <c r="M552" t="b">
        <v>1</v>
      </c>
    </row>
    <row r="553" spans="1:13">
      <c r="A553" t="s">
        <v>145</v>
      </c>
      <c r="B553" t="s">
        <v>136</v>
      </c>
      <c r="C553">
        <v>7.5</v>
      </c>
      <c r="D553">
        <v>3.75</v>
      </c>
      <c r="E553">
        <v>5.221349444371226E-05</v>
      </c>
      <c r="F553">
        <v>0.0001020069040041</v>
      </c>
      <c r="G553">
        <v>0.0006130301704437</v>
      </c>
      <c r="H553">
        <v>0</v>
      </c>
      <c r="J553" t="b">
        <v>1</v>
      </c>
      <c r="K553">
        <v>6.281947397059184</v>
      </c>
      <c r="L553" t="b">
        <v>1</v>
      </c>
      <c r="M553" t="b">
        <v>1</v>
      </c>
    </row>
    <row r="554" spans="1:13">
      <c r="A554" t="s">
        <v>145</v>
      </c>
      <c r="B554" t="s">
        <v>137</v>
      </c>
      <c r="C554">
        <v>7.5</v>
      </c>
      <c r="D554">
        <v>3.75</v>
      </c>
      <c r="E554">
        <v>9.674758944827653E-05</v>
      </c>
      <c r="F554">
        <v>0.0001861855595908</v>
      </c>
      <c r="G554">
        <v>0.0006130301704437</v>
      </c>
      <c r="H554">
        <v>0</v>
      </c>
      <c r="J554" t="b">
        <v>1</v>
      </c>
      <c r="K554">
        <v>7.098808060106165</v>
      </c>
      <c r="L554" t="b">
        <v>1</v>
      </c>
      <c r="M554" t="b">
        <v>1</v>
      </c>
    </row>
    <row r="555" spans="1:13">
      <c r="A555" t="s">
        <v>145</v>
      </c>
      <c r="B555" t="s">
        <v>138</v>
      </c>
      <c r="C555">
        <v>7.5</v>
      </c>
      <c r="D555">
        <v>3.75</v>
      </c>
      <c r="E555">
        <v>0.0001465532800217</v>
      </c>
      <c r="F555">
        <v>0.000276671474659</v>
      </c>
      <c r="G555">
        <v>0.0006130301704437</v>
      </c>
      <c r="H555">
        <v>0</v>
      </c>
      <c r="J555" t="b">
        <v>1</v>
      </c>
      <c r="K555">
        <v>7.708808740531481</v>
      </c>
      <c r="L555" t="b">
        <v>1</v>
      </c>
      <c r="M555" t="b">
        <v>1</v>
      </c>
    </row>
    <row r="556" spans="1:13">
      <c r="A556" t="s">
        <v>145</v>
      </c>
      <c r="B556" t="s">
        <v>139</v>
      </c>
      <c r="C556">
        <v>7.5</v>
      </c>
      <c r="D556">
        <v>3.75</v>
      </c>
      <c r="E556">
        <v>0.0002022936998947</v>
      </c>
      <c r="F556">
        <v>0.0003723732449027</v>
      </c>
      <c r="G556">
        <v>0.0006130301704437</v>
      </c>
      <c r="H556">
        <v>0</v>
      </c>
      <c r="J556" t="b">
        <v>1</v>
      </c>
      <c r="K556">
        <v>8.209629352099057</v>
      </c>
      <c r="L556" t="b">
        <v>1</v>
      </c>
      <c r="M556" t="b">
        <v>1</v>
      </c>
    </row>
    <row r="557" spans="1:13">
      <c r="A557" t="s">
        <v>146</v>
      </c>
      <c r="B557" t="s">
        <v>116</v>
      </c>
      <c r="C557">
        <v>7.5</v>
      </c>
      <c r="D557">
        <v>3.75</v>
      </c>
      <c r="E557">
        <v>0.0008259627906215</v>
      </c>
      <c r="F557">
        <v>0</v>
      </c>
      <c r="G557">
        <v>0.0008259627906196</v>
      </c>
      <c r="H557">
        <v>0.0109820035781922</v>
      </c>
      <c r="I557">
        <v>3.75</v>
      </c>
      <c r="J557" t="b">
        <v>1</v>
      </c>
      <c r="K557">
        <v>16.13339371952236</v>
      </c>
      <c r="L557" t="b">
        <v>1</v>
      </c>
      <c r="M557" t="b">
        <v>1</v>
      </c>
    </row>
    <row r="558" spans="1:13">
      <c r="A558" t="s">
        <v>146</v>
      </c>
      <c r="B558" t="s">
        <v>117</v>
      </c>
      <c r="C558">
        <v>7.5</v>
      </c>
      <c r="D558">
        <v>3.75</v>
      </c>
      <c r="E558">
        <v>0.0008259627906215</v>
      </c>
      <c r="F558">
        <v>0</v>
      </c>
      <c r="G558">
        <v>0.0008259627906196</v>
      </c>
      <c r="H558">
        <v>0.0207248392284782</v>
      </c>
      <c r="I558">
        <v>0</v>
      </c>
      <c r="J558" t="b">
        <v>1</v>
      </c>
      <c r="K558">
        <v>16.04681390410292</v>
      </c>
      <c r="L558" t="b">
        <v>1</v>
      </c>
      <c r="M558" t="b">
        <v>1</v>
      </c>
    </row>
    <row r="559" spans="1:13">
      <c r="A559" t="s">
        <v>146</v>
      </c>
      <c r="B559" t="s">
        <v>118</v>
      </c>
      <c r="C559">
        <v>7.5</v>
      </c>
      <c r="D559">
        <v>3.75</v>
      </c>
      <c r="E559">
        <v>0.0008259627906215</v>
      </c>
      <c r="F559">
        <v>0</v>
      </c>
      <c r="G559">
        <v>0.0008259627906196</v>
      </c>
      <c r="H559">
        <v>0.0313038719910423</v>
      </c>
      <c r="I559">
        <v>3.75</v>
      </c>
      <c r="J559" t="b">
        <v>1</v>
      </c>
      <c r="K559">
        <v>15.953259640375</v>
      </c>
      <c r="L559" t="b">
        <v>1</v>
      </c>
      <c r="M559" t="b">
        <v>1</v>
      </c>
    </row>
    <row r="560" spans="1:13">
      <c r="A560" t="s">
        <v>146</v>
      </c>
      <c r="B560" t="s">
        <v>119</v>
      </c>
      <c r="C560">
        <v>7.5</v>
      </c>
      <c r="D560">
        <v>3.75</v>
      </c>
      <c r="E560">
        <v>0.0008259627906215</v>
      </c>
      <c r="F560">
        <v>0</v>
      </c>
      <c r="G560">
        <v>0.0008259627906196</v>
      </c>
      <c r="H560">
        <v>0.0417752259445478</v>
      </c>
      <c r="I560">
        <v>3.75</v>
      </c>
      <c r="J560" t="b">
        <v>1</v>
      </c>
      <c r="K560">
        <v>15.86729212142828</v>
      </c>
      <c r="L560" t="b">
        <v>1</v>
      </c>
      <c r="M560" t="b">
        <v>1</v>
      </c>
    </row>
    <row r="561" spans="1:13">
      <c r="A561" t="s">
        <v>146</v>
      </c>
      <c r="B561" t="s">
        <v>120</v>
      </c>
      <c r="C561">
        <v>7.5</v>
      </c>
      <c r="D561">
        <v>3.75</v>
      </c>
      <c r="E561">
        <v>0.0008259627906105</v>
      </c>
      <c r="F561">
        <v>0</v>
      </c>
      <c r="G561">
        <v>0.0008259627906196</v>
      </c>
      <c r="H561">
        <v>0.0150393788117071</v>
      </c>
      <c r="I561">
        <v>0</v>
      </c>
      <c r="J561" t="b">
        <v>1</v>
      </c>
      <c r="K561">
        <v>14.53506920254739</v>
      </c>
      <c r="L561" t="b">
        <v>1</v>
      </c>
      <c r="M561" t="b">
        <v>1</v>
      </c>
    </row>
    <row r="562" spans="1:13">
      <c r="A562" t="s">
        <v>146</v>
      </c>
      <c r="B562" t="s">
        <v>121</v>
      </c>
      <c r="C562">
        <v>7.5</v>
      </c>
      <c r="D562">
        <v>3.75</v>
      </c>
      <c r="E562">
        <v>0.0008259627906105</v>
      </c>
      <c r="F562">
        <v>0</v>
      </c>
      <c r="G562">
        <v>0.0008259627906196</v>
      </c>
      <c r="H562">
        <v>0.0283464014492409</v>
      </c>
      <c r="I562">
        <v>3.75</v>
      </c>
      <c r="J562" t="b">
        <v>1</v>
      </c>
      <c r="K562">
        <v>14.4166280418986</v>
      </c>
      <c r="L562" t="b">
        <v>1</v>
      </c>
      <c r="M562" t="b">
        <v>1</v>
      </c>
    </row>
    <row r="563" spans="1:13">
      <c r="A563" t="s">
        <v>146</v>
      </c>
      <c r="B563" t="s">
        <v>122</v>
      </c>
      <c r="C563">
        <v>7.5</v>
      </c>
      <c r="D563">
        <v>3.75</v>
      </c>
      <c r="E563">
        <v>0.0008259627906104</v>
      </c>
      <c r="F563">
        <v>0</v>
      </c>
      <c r="G563">
        <v>0.0008259627906196</v>
      </c>
      <c r="H563">
        <v>0.0428675035640679</v>
      </c>
      <c r="I563">
        <v>0</v>
      </c>
      <c r="J563" t="b">
        <v>1</v>
      </c>
      <c r="K563">
        <v>14.31764242639915</v>
      </c>
      <c r="L563" t="b">
        <v>1</v>
      </c>
      <c r="M563" t="b">
        <v>1</v>
      </c>
    </row>
    <row r="564" spans="1:13">
      <c r="A564" t="s">
        <v>146</v>
      </c>
      <c r="B564" t="s">
        <v>123</v>
      </c>
      <c r="C564">
        <v>7.5</v>
      </c>
      <c r="D564">
        <v>3.75</v>
      </c>
      <c r="E564">
        <v>0.0008259627906105</v>
      </c>
      <c r="F564">
        <v>0</v>
      </c>
      <c r="G564">
        <v>0.0008259627906196</v>
      </c>
      <c r="H564">
        <v>0.0573888554044685</v>
      </c>
      <c r="I564">
        <v>0</v>
      </c>
      <c r="J564" t="b">
        <v>1</v>
      </c>
      <c r="K564">
        <v>14.24454970067117</v>
      </c>
      <c r="L564" t="b">
        <v>1</v>
      </c>
      <c r="M564" t="b">
        <v>1</v>
      </c>
    </row>
    <row r="565" spans="1:13">
      <c r="A565" t="s">
        <v>146</v>
      </c>
      <c r="B565" t="s">
        <v>124</v>
      </c>
      <c r="C565">
        <v>7.5</v>
      </c>
      <c r="D565">
        <v>3.75</v>
      </c>
      <c r="E565">
        <v>0.0008259627906216001</v>
      </c>
      <c r="F565">
        <v>0</v>
      </c>
      <c r="G565">
        <v>0.0008259627906196</v>
      </c>
      <c r="H565">
        <v>0.0177836978742504</v>
      </c>
      <c r="I565">
        <v>3.75</v>
      </c>
      <c r="J565" t="b">
        <v>1</v>
      </c>
      <c r="K565">
        <v>13.56149247801568</v>
      </c>
      <c r="L565" t="b">
        <v>1</v>
      </c>
      <c r="M565" t="b">
        <v>1</v>
      </c>
    </row>
    <row r="566" spans="1:13">
      <c r="A566" t="s">
        <v>146</v>
      </c>
      <c r="B566" t="s">
        <v>125</v>
      </c>
      <c r="C566">
        <v>7.5</v>
      </c>
      <c r="D566">
        <v>3.75</v>
      </c>
      <c r="E566">
        <v>0.0008259627906216001</v>
      </c>
      <c r="F566">
        <v>0</v>
      </c>
      <c r="G566">
        <v>0.0008259627906196</v>
      </c>
      <c r="H566">
        <v>0.0334594393625025</v>
      </c>
      <c r="I566">
        <v>0</v>
      </c>
      <c r="J566" t="b">
        <v>1</v>
      </c>
      <c r="K566">
        <v>13.455020922693</v>
      </c>
      <c r="L566" t="b">
        <v>1</v>
      </c>
      <c r="M566" t="b">
        <v>1</v>
      </c>
    </row>
    <row r="567" spans="1:13">
      <c r="A567" t="s">
        <v>146</v>
      </c>
      <c r="B567" t="s">
        <v>126</v>
      </c>
      <c r="C567">
        <v>7.5</v>
      </c>
      <c r="D567">
        <v>3.75</v>
      </c>
      <c r="E567">
        <v>0.0008259627906216001</v>
      </c>
      <c r="F567">
        <v>0</v>
      </c>
      <c r="G567">
        <v>0.0008259627906196</v>
      </c>
      <c r="H567">
        <v>0.0503410491765379</v>
      </c>
      <c r="I567">
        <v>0</v>
      </c>
      <c r="J567" t="b">
        <v>1</v>
      </c>
      <c r="K567">
        <v>13.35340453794629</v>
      </c>
      <c r="L567" t="b">
        <v>1</v>
      </c>
      <c r="M567" t="b">
        <v>1</v>
      </c>
    </row>
    <row r="568" spans="1:13">
      <c r="A568" t="s">
        <v>146</v>
      </c>
      <c r="B568" t="s">
        <v>127</v>
      </c>
      <c r="C568">
        <v>7.5</v>
      </c>
      <c r="D568">
        <v>3.75</v>
      </c>
      <c r="E568">
        <v>0.0008259627906216001</v>
      </c>
      <c r="F568">
        <v>0</v>
      </c>
      <c r="G568">
        <v>0.0008259627906196</v>
      </c>
      <c r="H568">
        <v>0.0667631588855073</v>
      </c>
      <c r="I568">
        <v>0</v>
      </c>
      <c r="J568" t="b">
        <v>1</v>
      </c>
      <c r="K568">
        <v>13.27375456341358</v>
      </c>
      <c r="L568" t="b">
        <v>1</v>
      </c>
      <c r="M568" t="b">
        <v>1</v>
      </c>
    </row>
    <row r="569" spans="1:13">
      <c r="A569" t="s">
        <v>146</v>
      </c>
      <c r="B569" t="s">
        <v>128</v>
      </c>
      <c r="C569">
        <v>7.5</v>
      </c>
      <c r="D569">
        <v>3.75</v>
      </c>
      <c r="E569">
        <v>0.000643263229606</v>
      </c>
      <c r="F569">
        <v>0</v>
      </c>
      <c r="G569">
        <v>0.0008259627906196</v>
      </c>
      <c r="H569">
        <v>0.0200022819734897</v>
      </c>
      <c r="I569">
        <v>3.75</v>
      </c>
      <c r="J569" t="b">
        <v>1</v>
      </c>
      <c r="K569">
        <v>12.87718332771703</v>
      </c>
      <c r="L569" t="b">
        <v>1</v>
      </c>
      <c r="M569" t="b">
        <v>1</v>
      </c>
    </row>
    <row r="570" spans="1:13">
      <c r="A570" t="s">
        <v>146</v>
      </c>
      <c r="B570" t="s">
        <v>129</v>
      </c>
      <c r="C570">
        <v>7.5</v>
      </c>
      <c r="D570">
        <v>3.75</v>
      </c>
      <c r="E570">
        <v>0.000643263229606</v>
      </c>
      <c r="F570">
        <v>0</v>
      </c>
      <c r="G570">
        <v>0.0008259627906196</v>
      </c>
      <c r="H570">
        <v>0.0373384699342125</v>
      </c>
      <c r="I570">
        <v>0</v>
      </c>
      <c r="J570" t="b">
        <v>1</v>
      </c>
      <c r="K570">
        <v>12.75544423423582</v>
      </c>
      <c r="L570" t="b">
        <v>1</v>
      </c>
      <c r="M570" t="b">
        <v>1</v>
      </c>
    </row>
    <row r="571" spans="1:13">
      <c r="A571" t="s">
        <v>146</v>
      </c>
      <c r="B571" t="s">
        <v>130</v>
      </c>
      <c r="C571">
        <v>7.5</v>
      </c>
      <c r="D571">
        <v>3.75</v>
      </c>
      <c r="E571">
        <v>0.0010498389113997</v>
      </c>
      <c r="F571">
        <v>0</v>
      </c>
      <c r="G571">
        <v>0.0008259627906196</v>
      </c>
      <c r="H571">
        <v>0.0558016840744173</v>
      </c>
      <c r="I571">
        <v>3.75</v>
      </c>
      <c r="J571" t="b">
        <v>1</v>
      </c>
      <c r="K571">
        <v>12.65304826385787</v>
      </c>
      <c r="L571" t="b">
        <v>1</v>
      </c>
      <c r="M571" t="b">
        <v>1</v>
      </c>
    </row>
    <row r="572" spans="1:13">
      <c r="A572" t="s">
        <v>146</v>
      </c>
      <c r="B572" t="s">
        <v>131</v>
      </c>
      <c r="C572">
        <v>7.5</v>
      </c>
      <c r="D572">
        <v>3.75</v>
      </c>
      <c r="E572">
        <v>0.0084135652026415</v>
      </c>
      <c r="F572">
        <v>0</v>
      </c>
      <c r="G572">
        <v>0.0008259627906196</v>
      </c>
      <c r="H572">
        <v>0.0733339842927343</v>
      </c>
      <c r="I572">
        <v>3.75</v>
      </c>
      <c r="J572" t="b">
        <v>1</v>
      </c>
      <c r="K572">
        <v>12.57930562626157</v>
      </c>
      <c r="L572" t="b">
        <v>1</v>
      </c>
      <c r="M572" t="b">
        <v>1</v>
      </c>
    </row>
    <row r="573" spans="1:13">
      <c r="A573" t="s">
        <v>146</v>
      </c>
      <c r="B573" t="s">
        <v>132</v>
      </c>
      <c r="C573">
        <v>7.5</v>
      </c>
      <c r="D573">
        <v>3.75</v>
      </c>
      <c r="E573">
        <v>0.008295950682304201</v>
      </c>
      <c r="F573">
        <v>0</v>
      </c>
      <c r="G573">
        <v>0.0008259627906196</v>
      </c>
      <c r="H573">
        <v>0.0218309219092418</v>
      </c>
      <c r="I573">
        <v>0</v>
      </c>
      <c r="J573" t="b">
        <v>1</v>
      </c>
      <c r="K573">
        <v>12.35196982652127</v>
      </c>
      <c r="L573" t="b">
        <v>1</v>
      </c>
      <c r="M573" t="b">
        <v>1</v>
      </c>
    </row>
    <row r="574" spans="1:13">
      <c r="A574" t="s">
        <v>146</v>
      </c>
      <c r="B574" t="s">
        <v>133</v>
      </c>
      <c r="C574">
        <v>7.5</v>
      </c>
      <c r="D574">
        <v>3.75</v>
      </c>
      <c r="E574">
        <v>0.0038929241384454</v>
      </c>
      <c r="F574">
        <v>0</v>
      </c>
      <c r="G574">
        <v>0.0008259627906196</v>
      </c>
      <c r="H574">
        <v>0.0403564649681662</v>
      </c>
      <c r="I574">
        <v>3.75</v>
      </c>
      <c r="J574" t="b">
        <v>1</v>
      </c>
      <c r="K574">
        <v>12.21879459268536</v>
      </c>
      <c r="L574" t="b">
        <v>1</v>
      </c>
      <c r="M574" t="b">
        <v>1</v>
      </c>
    </row>
    <row r="575" spans="1:13">
      <c r="A575" t="s">
        <v>146</v>
      </c>
      <c r="B575" t="s">
        <v>134</v>
      </c>
      <c r="C575">
        <v>7.5</v>
      </c>
      <c r="D575">
        <v>3.75</v>
      </c>
      <c r="E575">
        <v>0.0343227741466321</v>
      </c>
      <c r="F575">
        <v>0</v>
      </c>
      <c r="G575">
        <v>0.0008259627906196</v>
      </c>
      <c r="H575">
        <v>0.0588492674098515</v>
      </c>
      <c r="I575">
        <v>7.5</v>
      </c>
      <c r="J575" t="b">
        <v>1</v>
      </c>
      <c r="K575">
        <v>12.11451782674331</v>
      </c>
      <c r="L575" t="b">
        <v>1</v>
      </c>
      <c r="M575" t="b">
        <v>0</v>
      </c>
    </row>
    <row r="576" spans="1:13">
      <c r="A576" t="s">
        <v>146</v>
      </c>
      <c r="B576" t="s">
        <v>135</v>
      </c>
      <c r="C576">
        <v>7.5</v>
      </c>
      <c r="D576">
        <v>3.75</v>
      </c>
      <c r="E576">
        <v>0.000288060461273</v>
      </c>
      <c r="F576">
        <v>0.0005336658443233</v>
      </c>
      <c r="G576">
        <v>0.0008259627906196</v>
      </c>
      <c r="H576">
        <v>0</v>
      </c>
      <c r="J576" t="b">
        <v>1</v>
      </c>
      <c r="K576">
        <v>8.76228094672733</v>
      </c>
      <c r="L576" t="b">
        <v>1</v>
      </c>
      <c r="M576" t="b">
        <v>1</v>
      </c>
    </row>
    <row r="577" spans="1:13">
      <c r="A577" t="s">
        <v>146</v>
      </c>
      <c r="B577" t="s">
        <v>136</v>
      </c>
      <c r="C577">
        <v>7.5</v>
      </c>
      <c r="D577">
        <v>3.75</v>
      </c>
      <c r="E577">
        <v>6.630178678441651E-05</v>
      </c>
      <c r="F577">
        <v>0.000129563244252</v>
      </c>
      <c r="G577">
        <v>0.0008259627906196</v>
      </c>
      <c r="H577">
        <v>0</v>
      </c>
      <c r="J577" t="b">
        <v>1</v>
      </c>
      <c r="K577">
        <v>6.346172288780849</v>
      </c>
      <c r="L577" t="b">
        <v>1</v>
      </c>
      <c r="M577" t="b">
        <v>1</v>
      </c>
    </row>
    <row r="578" spans="1:13">
      <c r="A578" t="s">
        <v>146</v>
      </c>
      <c r="B578" t="s">
        <v>137</v>
      </c>
      <c r="C578">
        <v>7.5</v>
      </c>
      <c r="D578">
        <v>3.75</v>
      </c>
      <c r="E578">
        <v>0.0001285101530484</v>
      </c>
      <c r="F578">
        <v>0.0002475566455665</v>
      </c>
      <c r="G578">
        <v>0.0008259627906196</v>
      </c>
      <c r="H578">
        <v>0</v>
      </c>
      <c r="J578" t="b">
        <v>1</v>
      </c>
      <c r="K578">
        <v>7.159038320392597</v>
      </c>
      <c r="L578" t="b">
        <v>1</v>
      </c>
      <c r="M578" t="b">
        <v>1</v>
      </c>
    </row>
    <row r="579" spans="1:13">
      <c r="A579" t="s">
        <v>146</v>
      </c>
      <c r="B579" t="s">
        <v>138</v>
      </c>
      <c r="C579">
        <v>7.5</v>
      </c>
      <c r="D579">
        <v>3.75</v>
      </c>
      <c r="E579">
        <v>0.0002034375877386</v>
      </c>
      <c r="F579">
        <v>0.0003851364381446</v>
      </c>
      <c r="G579">
        <v>0.0008259627906196</v>
      </c>
      <c r="H579">
        <v>0</v>
      </c>
      <c r="J579" t="b">
        <v>1</v>
      </c>
      <c r="K579">
        <v>7.760294460922523</v>
      </c>
      <c r="L579" t="b">
        <v>1</v>
      </c>
      <c r="M579" t="b">
        <v>1</v>
      </c>
    </row>
    <row r="580" spans="1:13">
      <c r="A580" t="s">
        <v>146</v>
      </c>
      <c r="B580" t="s">
        <v>139</v>
      </c>
      <c r="C580">
        <v>7.5</v>
      </c>
      <c r="D580">
        <v>3.75</v>
      </c>
      <c r="E580">
        <v>0.000288060461273</v>
      </c>
      <c r="F580">
        <v>0.0005336658443233</v>
      </c>
      <c r="G580">
        <v>0.0008259627906196</v>
      </c>
      <c r="H580">
        <v>0</v>
      </c>
      <c r="J580" t="b">
        <v>1</v>
      </c>
      <c r="K580">
        <v>8.249561818878703</v>
      </c>
      <c r="L580" t="b">
        <v>1</v>
      </c>
      <c r="M580" t="b">
        <v>1</v>
      </c>
    </row>
    <row r="581" spans="1:13">
      <c r="A581" t="s">
        <v>147</v>
      </c>
      <c r="B581" t="s">
        <v>116</v>
      </c>
      <c r="C581">
        <v>7.5</v>
      </c>
      <c r="D581">
        <v>3.75</v>
      </c>
      <c r="E581">
        <v>1.079320725110183E-05</v>
      </c>
      <c r="F581">
        <v>0</v>
      </c>
      <c r="G581">
        <v>1.079320725337119E-05</v>
      </c>
      <c r="H581">
        <v>0.0118680465815828</v>
      </c>
      <c r="I581">
        <v>3.75</v>
      </c>
      <c r="J581" t="b">
        <v>1</v>
      </c>
      <c r="K581">
        <v>16.35326549990168</v>
      </c>
      <c r="L581" t="b">
        <v>1</v>
      </c>
      <c r="M581" t="b">
        <v>1</v>
      </c>
    </row>
    <row r="582" spans="1:13">
      <c r="A582" t="s">
        <v>147</v>
      </c>
      <c r="B582" t="s">
        <v>117</v>
      </c>
      <c r="C582">
        <v>7.5</v>
      </c>
      <c r="D582">
        <v>3.75</v>
      </c>
      <c r="E582">
        <v>1.079320725110183E-05</v>
      </c>
      <c r="F582">
        <v>0</v>
      </c>
      <c r="G582">
        <v>1.079320725337119E-05</v>
      </c>
      <c r="H582">
        <v>0.0228336249680864</v>
      </c>
      <c r="I582">
        <v>3.75</v>
      </c>
      <c r="J582" t="b">
        <v>1</v>
      </c>
      <c r="K582">
        <v>16.29647371298688</v>
      </c>
      <c r="L582" t="b">
        <v>1</v>
      </c>
      <c r="M582" t="b">
        <v>1</v>
      </c>
    </row>
    <row r="583" spans="1:13">
      <c r="A583" t="s">
        <v>147</v>
      </c>
      <c r="B583" t="s">
        <v>118</v>
      </c>
      <c r="C583">
        <v>7.5</v>
      </c>
      <c r="D583">
        <v>3.75</v>
      </c>
      <c r="E583">
        <v>1.079320725110183E-05</v>
      </c>
      <c r="F583">
        <v>0</v>
      </c>
      <c r="G583">
        <v>1.079320725337119E-05</v>
      </c>
      <c r="H583">
        <v>0.0351827760465539</v>
      </c>
      <c r="I583">
        <v>3.75</v>
      </c>
      <c r="J583" t="b">
        <v>1</v>
      </c>
      <c r="K583">
        <v>16.22475391157394</v>
      </c>
      <c r="L583" t="b">
        <v>1</v>
      </c>
      <c r="M583" t="b">
        <v>1</v>
      </c>
    </row>
    <row r="584" spans="1:13">
      <c r="A584" t="s">
        <v>147</v>
      </c>
      <c r="B584" t="s">
        <v>119</v>
      </c>
      <c r="C584">
        <v>7.5</v>
      </c>
      <c r="D584">
        <v>3.75</v>
      </c>
      <c r="E584">
        <v>1.079320725110183E-05</v>
      </c>
      <c r="F584">
        <v>0</v>
      </c>
      <c r="G584">
        <v>1.079320725337119E-05</v>
      </c>
      <c r="H584">
        <v>0.04793601859825</v>
      </c>
      <c r="I584">
        <v>3.75</v>
      </c>
      <c r="J584" t="b">
        <v>1</v>
      </c>
      <c r="K584">
        <v>16.160177608824</v>
      </c>
      <c r="L584" t="b">
        <v>1</v>
      </c>
      <c r="M584" t="b">
        <v>1</v>
      </c>
    </row>
    <row r="585" spans="1:13">
      <c r="A585" t="s">
        <v>147</v>
      </c>
      <c r="B585" t="s">
        <v>120</v>
      </c>
      <c r="C585">
        <v>7.5</v>
      </c>
      <c r="D585">
        <v>3.75</v>
      </c>
      <c r="E585">
        <v>1.079320725922373E-05</v>
      </c>
      <c r="F585">
        <v>0</v>
      </c>
      <c r="G585">
        <v>1.079320725337119E-05</v>
      </c>
      <c r="H585">
        <v>0.0162416739182162</v>
      </c>
      <c r="I585">
        <v>3.75</v>
      </c>
      <c r="J585" t="b">
        <v>1</v>
      </c>
      <c r="K585">
        <v>14.76951244866314</v>
      </c>
      <c r="L585" t="b">
        <v>1</v>
      </c>
      <c r="M585" t="b">
        <v>1</v>
      </c>
    </row>
    <row r="586" spans="1:13">
      <c r="A586" t="s">
        <v>147</v>
      </c>
      <c r="B586" t="s">
        <v>121</v>
      </c>
      <c r="C586">
        <v>7.5</v>
      </c>
      <c r="D586">
        <v>3.75</v>
      </c>
      <c r="E586">
        <v>1.079320725922373E-05</v>
      </c>
      <c r="F586">
        <v>0</v>
      </c>
      <c r="G586">
        <v>1.079320725337119E-05</v>
      </c>
      <c r="H586">
        <v>0.0313620092641144</v>
      </c>
      <c r="I586">
        <v>0</v>
      </c>
      <c r="J586" t="b">
        <v>1</v>
      </c>
      <c r="K586">
        <v>14.69182292557321</v>
      </c>
      <c r="L586" t="b">
        <v>1</v>
      </c>
      <c r="M586" t="b">
        <v>1</v>
      </c>
    </row>
    <row r="587" spans="1:13">
      <c r="A587" t="s">
        <v>147</v>
      </c>
      <c r="B587" t="s">
        <v>122</v>
      </c>
      <c r="C587">
        <v>7.5</v>
      </c>
      <c r="D587">
        <v>3.75</v>
      </c>
      <c r="E587">
        <v>1.079320725922373E-05</v>
      </c>
      <c r="F587">
        <v>0</v>
      </c>
      <c r="G587">
        <v>1.079320725337119E-05</v>
      </c>
      <c r="H587">
        <v>0.0486451849174045</v>
      </c>
      <c r="I587">
        <v>3.75</v>
      </c>
      <c r="J587" t="b">
        <v>1</v>
      </c>
      <c r="K587">
        <v>14.61735365813581</v>
      </c>
      <c r="L587" t="b">
        <v>1</v>
      </c>
      <c r="M587" t="b">
        <v>1</v>
      </c>
    </row>
    <row r="588" spans="1:13">
      <c r="A588" t="s">
        <v>147</v>
      </c>
      <c r="B588" t="s">
        <v>123</v>
      </c>
      <c r="C588">
        <v>7.5</v>
      </c>
      <c r="D588">
        <v>3.75</v>
      </c>
      <c r="E588">
        <v>1.079320725922373E-05</v>
      </c>
      <c r="F588">
        <v>0</v>
      </c>
      <c r="G588">
        <v>1.079320725337119E-05</v>
      </c>
      <c r="H588">
        <v>0.0666935307540939</v>
      </c>
      <c r="I588">
        <v>3.75</v>
      </c>
      <c r="J588" t="b">
        <v>1</v>
      </c>
      <c r="K588">
        <v>14.5467628352911</v>
      </c>
      <c r="L588" t="b">
        <v>1</v>
      </c>
      <c r="M588" t="b">
        <v>1</v>
      </c>
    </row>
    <row r="589" spans="1:13">
      <c r="A589" t="s">
        <v>147</v>
      </c>
      <c r="B589" t="s">
        <v>124</v>
      </c>
      <c r="C589">
        <v>7.5</v>
      </c>
      <c r="D589">
        <v>3.75</v>
      </c>
      <c r="E589">
        <v>1.079320725110192E-05</v>
      </c>
      <c r="F589">
        <v>0</v>
      </c>
      <c r="G589">
        <v>1.079320725337119E-05</v>
      </c>
      <c r="H589">
        <v>0.0192058559741781</v>
      </c>
      <c r="I589">
        <v>0</v>
      </c>
      <c r="J589" t="b">
        <v>1</v>
      </c>
      <c r="K589">
        <v>13.81101820040414</v>
      </c>
      <c r="L589" t="b">
        <v>1</v>
      </c>
      <c r="M589" t="b">
        <v>1</v>
      </c>
    </row>
    <row r="590" spans="1:13">
      <c r="A590" t="s">
        <v>147</v>
      </c>
      <c r="B590" t="s">
        <v>125</v>
      </c>
      <c r="C590">
        <v>7.5</v>
      </c>
      <c r="D590">
        <v>3.75</v>
      </c>
      <c r="E590">
        <v>1.079320725110192E-05</v>
      </c>
      <c r="F590">
        <v>0</v>
      </c>
      <c r="G590">
        <v>1.079320725337119E-05</v>
      </c>
      <c r="H590">
        <v>0.0369174646295391</v>
      </c>
      <c r="I590">
        <v>0</v>
      </c>
      <c r="J590" t="b">
        <v>1</v>
      </c>
      <c r="K590">
        <v>13.72641181633583</v>
      </c>
      <c r="L590" t="b">
        <v>1</v>
      </c>
      <c r="M590" t="b">
        <v>1</v>
      </c>
    </row>
    <row r="591" spans="1:13">
      <c r="A591" t="s">
        <v>147</v>
      </c>
      <c r="B591" t="s">
        <v>126</v>
      </c>
      <c r="C591">
        <v>7.5</v>
      </c>
      <c r="D591">
        <v>3.75</v>
      </c>
      <c r="E591">
        <v>1.079320725110192E-05</v>
      </c>
      <c r="F591">
        <v>0</v>
      </c>
      <c r="G591">
        <v>1.079320725337119E-05</v>
      </c>
      <c r="H591">
        <v>0.0570673000507326</v>
      </c>
      <c r="I591">
        <v>0</v>
      </c>
      <c r="J591" t="b">
        <v>1</v>
      </c>
      <c r="K591">
        <v>13.65516528717308</v>
      </c>
      <c r="L591" t="b">
        <v>1</v>
      </c>
      <c r="M591" t="b">
        <v>1</v>
      </c>
    </row>
    <row r="592" spans="1:13">
      <c r="A592" t="s">
        <v>147</v>
      </c>
      <c r="B592" t="s">
        <v>127</v>
      </c>
      <c r="C592">
        <v>7.5</v>
      </c>
      <c r="D592">
        <v>3.75</v>
      </c>
      <c r="E592">
        <v>1.079320725110192E-05</v>
      </c>
      <c r="F592">
        <v>0</v>
      </c>
      <c r="G592">
        <v>1.079320725337119E-05</v>
      </c>
      <c r="H592">
        <v>0.07787875984681129</v>
      </c>
      <c r="I592">
        <v>0</v>
      </c>
      <c r="J592" t="b">
        <v>1</v>
      </c>
      <c r="K592">
        <v>13.5878670074689</v>
      </c>
      <c r="L592" t="b">
        <v>1</v>
      </c>
      <c r="M592" t="b">
        <v>1</v>
      </c>
    </row>
    <row r="593" spans="1:13">
      <c r="A593" t="s">
        <v>147</v>
      </c>
      <c r="B593" t="s">
        <v>128</v>
      </c>
      <c r="C593">
        <v>7.5</v>
      </c>
      <c r="D593">
        <v>3.75</v>
      </c>
      <c r="E593">
        <v>1.079320725110192E-05</v>
      </c>
      <c r="F593">
        <v>0</v>
      </c>
      <c r="G593">
        <v>1.079320725337119E-05</v>
      </c>
      <c r="H593">
        <v>0.0215282506171661</v>
      </c>
      <c r="I593">
        <v>3.75</v>
      </c>
      <c r="J593" t="b">
        <v>1</v>
      </c>
      <c r="K593">
        <v>13.12591457181753</v>
      </c>
      <c r="L593" t="b">
        <v>1</v>
      </c>
      <c r="M593" t="b">
        <v>1</v>
      </c>
    </row>
    <row r="594" spans="1:13">
      <c r="A594" t="s">
        <v>147</v>
      </c>
      <c r="B594" t="s">
        <v>129</v>
      </c>
      <c r="C594">
        <v>7.5</v>
      </c>
      <c r="D594">
        <v>3.75</v>
      </c>
      <c r="E594">
        <v>1.079320725110192E-05</v>
      </c>
      <c r="F594">
        <v>0</v>
      </c>
      <c r="G594">
        <v>1.079320725337119E-05</v>
      </c>
      <c r="H594">
        <v>0.0412771652967762</v>
      </c>
      <c r="I594">
        <v>3.75</v>
      </c>
      <c r="J594" t="b">
        <v>1</v>
      </c>
      <c r="K594">
        <v>13.04948726795274</v>
      </c>
      <c r="L594" t="b">
        <v>1</v>
      </c>
      <c r="M594" t="b">
        <v>1</v>
      </c>
    </row>
    <row r="595" spans="1:13">
      <c r="A595" t="s">
        <v>147</v>
      </c>
      <c r="B595" t="s">
        <v>130</v>
      </c>
      <c r="C595">
        <v>7.5</v>
      </c>
      <c r="D595">
        <v>3.75</v>
      </c>
      <c r="E595">
        <v>1.079320725110192E-05</v>
      </c>
      <c r="F595">
        <v>0</v>
      </c>
      <c r="G595">
        <v>1.079320725337119E-05</v>
      </c>
      <c r="H595">
        <v>0.06321833853206719</v>
      </c>
      <c r="I595">
        <v>3.75</v>
      </c>
      <c r="J595" t="b">
        <v>1</v>
      </c>
      <c r="K595">
        <v>12.95791598035692</v>
      </c>
      <c r="L595" t="b">
        <v>1</v>
      </c>
      <c r="M595" t="b">
        <v>1</v>
      </c>
    </row>
    <row r="596" spans="1:13">
      <c r="A596" t="s">
        <v>147</v>
      </c>
      <c r="B596" t="s">
        <v>131</v>
      </c>
      <c r="C596">
        <v>7.5</v>
      </c>
      <c r="D596">
        <v>3.75</v>
      </c>
      <c r="E596">
        <v>1.079320725110192E-05</v>
      </c>
      <c r="F596">
        <v>0</v>
      </c>
      <c r="G596">
        <v>1.079320725337119E-05</v>
      </c>
      <c r="H596">
        <v>0.0857681424323857</v>
      </c>
      <c r="I596">
        <v>3.75</v>
      </c>
      <c r="J596" t="b">
        <v>1</v>
      </c>
      <c r="K596">
        <v>12.89713381479061</v>
      </c>
      <c r="L596" t="b">
        <v>1</v>
      </c>
      <c r="M596" t="b">
        <v>1</v>
      </c>
    </row>
    <row r="597" spans="1:13">
      <c r="A597" t="s">
        <v>147</v>
      </c>
      <c r="B597" t="s">
        <v>132</v>
      </c>
      <c r="C597">
        <v>7.5</v>
      </c>
      <c r="D597">
        <v>3.75</v>
      </c>
      <c r="E597">
        <v>1.079320726746498E-05</v>
      </c>
      <c r="F597">
        <v>0</v>
      </c>
      <c r="G597">
        <v>1.079320725337119E-05</v>
      </c>
      <c r="H597">
        <v>0.0234991811203428</v>
      </c>
      <c r="I597">
        <v>0</v>
      </c>
      <c r="J597" t="b">
        <v>1</v>
      </c>
      <c r="K597">
        <v>12.60053571367763</v>
      </c>
      <c r="L597" t="b">
        <v>1</v>
      </c>
      <c r="M597" t="b">
        <v>1</v>
      </c>
    </row>
    <row r="598" spans="1:13">
      <c r="A598" t="s">
        <v>147</v>
      </c>
      <c r="B598" t="s">
        <v>133</v>
      </c>
      <c r="C598">
        <v>7.5</v>
      </c>
      <c r="D598">
        <v>3.75</v>
      </c>
      <c r="E598">
        <v>1.079320726746498E-05</v>
      </c>
      <c r="F598">
        <v>0</v>
      </c>
      <c r="G598">
        <v>1.079320725337119E-05</v>
      </c>
      <c r="H598">
        <v>0.0447426390774978</v>
      </c>
      <c r="I598">
        <v>3.75</v>
      </c>
      <c r="J598" t="b">
        <v>1</v>
      </c>
      <c r="K598">
        <v>12.50718384087293</v>
      </c>
      <c r="L598" t="b">
        <v>1</v>
      </c>
      <c r="M598" t="b">
        <v>1</v>
      </c>
    </row>
    <row r="599" spans="1:13">
      <c r="A599" t="s">
        <v>147</v>
      </c>
      <c r="B599" t="s">
        <v>134</v>
      </c>
      <c r="C599">
        <v>7.5</v>
      </c>
      <c r="D599">
        <v>3.75</v>
      </c>
      <c r="E599">
        <v>1.079320726746498E-05</v>
      </c>
      <c r="F599">
        <v>0</v>
      </c>
      <c r="G599">
        <v>1.079320725337119E-05</v>
      </c>
      <c r="H599">
        <v>0.0682963170239077</v>
      </c>
      <c r="I599">
        <v>0</v>
      </c>
      <c r="J599" t="b">
        <v>1</v>
      </c>
      <c r="K599">
        <v>12.424666065521</v>
      </c>
      <c r="L599" t="b">
        <v>1</v>
      </c>
      <c r="M599" t="b">
        <v>1</v>
      </c>
    </row>
    <row r="600" spans="1:13">
      <c r="A600" t="s">
        <v>147</v>
      </c>
      <c r="B600" t="s">
        <v>135</v>
      </c>
      <c r="C600">
        <v>7.5</v>
      </c>
      <c r="D600">
        <v>3.75</v>
      </c>
      <c r="E600">
        <v>1.079320726734554E-05</v>
      </c>
      <c r="F600">
        <v>0</v>
      </c>
      <c r="G600">
        <v>1.079320725337119E-05</v>
      </c>
      <c r="H600">
        <v>0.0919266105866825</v>
      </c>
      <c r="I600">
        <v>3.75</v>
      </c>
      <c r="J600" t="b">
        <v>1</v>
      </c>
      <c r="K600">
        <v>12.35778092368953</v>
      </c>
      <c r="L600" t="b">
        <v>1</v>
      </c>
      <c r="M600" t="b">
        <v>1</v>
      </c>
    </row>
    <row r="601" spans="1:13">
      <c r="A601" t="s">
        <v>147</v>
      </c>
      <c r="B601" t="s">
        <v>136</v>
      </c>
      <c r="C601">
        <v>7.5</v>
      </c>
      <c r="D601">
        <v>3.75</v>
      </c>
      <c r="E601">
        <v>1.079320726746498E-05</v>
      </c>
      <c r="F601">
        <v>0</v>
      </c>
      <c r="G601">
        <v>1.079320725337119E-05</v>
      </c>
      <c r="H601">
        <v>0.0252123670758805</v>
      </c>
      <c r="I601">
        <v>3.75</v>
      </c>
      <c r="J601" t="b">
        <v>1</v>
      </c>
      <c r="K601">
        <v>12.1671822299561</v>
      </c>
      <c r="L601" t="b">
        <v>1</v>
      </c>
      <c r="M601" t="b">
        <v>1</v>
      </c>
    </row>
    <row r="602" spans="1:13">
      <c r="A602" t="s">
        <v>147</v>
      </c>
      <c r="B602" t="s">
        <v>137</v>
      </c>
      <c r="C602">
        <v>7.5</v>
      </c>
      <c r="D602">
        <v>3.75</v>
      </c>
      <c r="E602">
        <v>1.079320726746498E-05</v>
      </c>
      <c r="F602">
        <v>0</v>
      </c>
      <c r="G602">
        <v>1.079320725337119E-05</v>
      </c>
      <c r="H602">
        <v>0.0478732662780032</v>
      </c>
      <c r="I602">
        <v>3.75</v>
      </c>
      <c r="J602" t="b">
        <v>1</v>
      </c>
      <c r="K602">
        <v>12.07964334103764</v>
      </c>
      <c r="L602" t="b">
        <v>1</v>
      </c>
      <c r="M602" t="b">
        <v>1</v>
      </c>
    </row>
    <row r="603" spans="1:13">
      <c r="A603" t="s">
        <v>147</v>
      </c>
      <c r="B603" t="s">
        <v>138</v>
      </c>
      <c r="C603">
        <v>7.5</v>
      </c>
      <c r="D603">
        <v>3.75</v>
      </c>
      <c r="E603">
        <v>1.079320726746498E-05</v>
      </c>
      <c r="F603">
        <v>0</v>
      </c>
      <c r="G603">
        <v>1.079320725337119E-05</v>
      </c>
      <c r="H603">
        <v>0.0726463394229597</v>
      </c>
      <c r="I603">
        <v>0</v>
      </c>
      <c r="J603" t="b">
        <v>1</v>
      </c>
      <c r="K603">
        <v>11.99243592648074</v>
      </c>
      <c r="L603" t="b">
        <v>1</v>
      </c>
      <c r="M603" t="b">
        <v>1</v>
      </c>
    </row>
    <row r="604" spans="1:13">
      <c r="A604" t="s">
        <v>147</v>
      </c>
      <c r="B604" t="s">
        <v>139</v>
      </c>
      <c r="C604">
        <v>7.5</v>
      </c>
      <c r="D604">
        <v>3.75</v>
      </c>
      <c r="E604">
        <v>1.079320726746498E-05</v>
      </c>
      <c r="F604">
        <v>0</v>
      </c>
      <c r="G604">
        <v>1.079320725337119E-05</v>
      </c>
      <c r="H604">
        <v>0.0969800600773567</v>
      </c>
      <c r="I604">
        <v>0</v>
      </c>
      <c r="J604" t="b">
        <v>1</v>
      </c>
      <c r="K604">
        <v>11.91762802084106</v>
      </c>
      <c r="L604" t="b">
        <v>1</v>
      </c>
      <c r="M604" t="b">
        <v>1</v>
      </c>
    </row>
    <row r="605" spans="1:13">
      <c r="A605" t="s">
        <v>148</v>
      </c>
      <c r="B605" t="s">
        <v>116</v>
      </c>
      <c r="C605">
        <v>7.5</v>
      </c>
      <c r="D605">
        <v>3.75</v>
      </c>
      <c r="E605">
        <v>0.0005885888961952</v>
      </c>
      <c r="F605">
        <v>0</v>
      </c>
      <c r="G605">
        <v>0.0005885888961939</v>
      </c>
      <c r="H605">
        <v>0.0108100573950764</v>
      </c>
      <c r="I605">
        <v>7.5</v>
      </c>
      <c r="J605" t="b">
        <v>1</v>
      </c>
      <c r="K605">
        <v>15.55460992054805</v>
      </c>
      <c r="L605" t="b">
        <v>1</v>
      </c>
      <c r="M605" t="b">
        <v>1</v>
      </c>
    </row>
    <row r="606" spans="1:13">
      <c r="A606" t="s">
        <v>148</v>
      </c>
      <c r="B606" t="s">
        <v>117</v>
      </c>
      <c r="C606">
        <v>7.5</v>
      </c>
      <c r="D606">
        <v>3.75</v>
      </c>
      <c r="E606">
        <v>0.0005885888961952</v>
      </c>
      <c r="F606">
        <v>0</v>
      </c>
      <c r="G606">
        <v>0.0005885888961939</v>
      </c>
      <c r="H606">
        <v>0.0206951602349931</v>
      </c>
      <c r="I606">
        <v>3.75</v>
      </c>
      <c r="J606" t="b">
        <v>1</v>
      </c>
      <c r="K606">
        <v>15.51962472290995</v>
      </c>
      <c r="L606" t="b">
        <v>1</v>
      </c>
      <c r="M606" t="b">
        <v>1</v>
      </c>
    </row>
    <row r="607" spans="1:13">
      <c r="A607" t="s">
        <v>148</v>
      </c>
      <c r="B607" t="s">
        <v>118</v>
      </c>
      <c r="C607">
        <v>7.5</v>
      </c>
      <c r="D607">
        <v>3.75</v>
      </c>
      <c r="E607">
        <v>0.0005885888961954</v>
      </c>
      <c r="F607">
        <v>0</v>
      </c>
      <c r="G607">
        <v>0.0005885888961939</v>
      </c>
      <c r="H607">
        <v>0.031829345129438</v>
      </c>
      <c r="I607">
        <v>0</v>
      </c>
      <c r="J607" t="b">
        <v>1</v>
      </c>
      <c r="K607">
        <v>15.4602025309174</v>
      </c>
      <c r="L607" t="b">
        <v>1</v>
      </c>
      <c r="M607" t="b">
        <v>1</v>
      </c>
    </row>
    <row r="608" spans="1:13">
      <c r="A608" t="s">
        <v>148</v>
      </c>
      <c r="B608" t="s">
        <v>119</v>
      </c>
      <c r="C608">
        <v>7.5</v>
      </c>
      <c r="D608">
        <v>3.75</v>
      </c>
      <c r="E608">
        <v>0.0005885888961952</v>
      </c>
      <c r="F608">
        <v>0</v>
      </c>
      <c r="G608">
        <v>0.0005885888961939</v>
      </c>
      <c r="H608">
        <v>0.0431504839356193</v>
      </c>
      <c r="I608">
        <v>3.75</v>
      </c>
      <c r="J608" t="b">
        <v>1</v>
      </c>
      <c r="K608">
        <v>15.40415843544736</v>
      </c>
      <c r="L608" t="b">
        <v>1</v>
      </c>
      <c r="M608" t="b">
        <v>1</v>
      </c>
    </row>
    <row r="609" spans="1:13">
      <c r="A609" t="s">
        <v>148</v>
      </c>
      <c r="B609" t="s">
        <v>120</v>
      </c>
      <c r="C609">
        <v>7.5</v>
      </c>
      <c r="D609">
        <v>3.75</v>
      </c>
      <c r="E609">
        <v>0.0005885888961982</v>
      </c>
      <c r="F609">
        <v>0</v>
      </c>
      <c r="G609">
        <v>0.0005885888961939</v>
      </c>
      <c r="H609">
        <v>0.0147685342955696</v>
      </c>
      <c r="I609">
        <v>0</v>
      </c>
      <c r="J609" t="b">
        <v>1</v>
      </c>
      <c r="K609">
        <v>13.97990845879065</v>
      </c>
      <c r="L609" t="b">
        <v>1</v>
      </c>
      <c r="M609" t="b">
        <v>1</v>
      </c>
    </row>
    <row r="610" spans="1:13">
      <c r="A610" t="s">
        <v>148</v>
      </c>
      <c r="B610" t="s">
        <v>121</v>
      </c>
      <c r="C610">
        <v>7.5</v>
      </c>
      <c r="D610">
        <v>3.75</v>
      </c>
      <c r="E610">
        <v>0.0005885888961982</v>
      </c>
      <c r="F610">
        <v>0</v>
      </c>
      <c r="G610">
        <v>0.0005885888961939</v>
      </c>
      <c r="H610">
        <v>0.0283494091433453</v>
      </c>
      <c r="I610">
        <v>3.75</v>
      </c>
      <c r="J610" t="b">
        <v>1</v>
      </c>
      <c r="K610">
        <v>13.92308787514764</v>
      </c>
      <c r="L610" t="b">
        <v>1</v>
      </c>
      <c r="M610" t="b">
        <v>1</v>
      </c>
    </row>
    <row r="611" spans="1:13">
      <c r="A611" t="s">
        <v>148</v>
      </c>
      <c r="B611" t="s">
        <v>122</v>
      </c>
      <c r="C611">
        <v>7.5</v>
      </c>
      <c r="D611">
        <v>3.75</v>
      </c>
      <c r="E611">
        <v>0.0005885888961982</v>
      </c>
      <c r="F611">
        <v>0</v>
      </c>
      <c r="G611">
        <v>0.0005885888961939</v>
      </c>
      <c r="H611">
        <v>0.0436700470384039</v>
      </c>
      <c r="I611">
        <v>0</v>
      </c>
      <c r="J611" t="b">
        <v>1</v>
      </c>
      <c r="K611">
        <v>13.85831789259271</v>
      </c>
      <c r="L611" t="b">
        <v>1</v>
      </c>
      <c r="M611" t="b">
        <v>1</v>
      </c>
    </row>
    <row r="612" spans="1:13">
      <c r="A612" t="s">
        <v>148</v>
      </c>
      <c r="B612" t="s">
        <v>123</v>
      </c>
      <c r="C612">
        <v>7.5</v>
      </c>
      <c r="D612">
        <v>3.75</v>
      </c>
      <c r="E612">
        <v>0.0005885888961982</v>
      </c>
      <c r="F612">
        <v>0</v>
      </c>
      <c r="G612">
        <v>0.0005885888961939</v>
      </c>
      <c r="H612">
        <v>0.0594620659319957</v>
      </c>
      <c r="I612">
        <v>3.75</v>
      </c>
      <c r="J612" t="b">
        <v>1</v>
      </c>
      <c r="K612">
        <v>13.79118757728932</v>
      </c>
      <c r="L612" t="b">
        <v>1</v>
      </c>
      <c r="M612" t="b">
        <v>1</v>
      </c>
    </row>
    <row r="613" spans="1:13">
      <c r="A613" t="s">
        <v>148</v>
      </c>
      <c r="B613" t="s">
        <v>124</v>
      </c>
      <c r="C613">
        <v>7.5</v>
      </c>
      <c r="D613">
        <v>3.75</v>
      </c>
      <c r="E613">
        <v>0.00058858889618</v>
      </c>
      <c r="F613">
        <v>0</v>
      </c>
      <c r="G613">
        <v>0.0005885888961939</v>
      </c>
      <c r="H613">
        <v>0.0173827301807136</v>
      </c>
      <c r="I613">
        <v>3.75</v>
      </c>
      <c r="J613" t="b">
        <v>1</v>
      </c>
      <c r="K613">
        <v>13.02607987494326</v>
      </c>
      <c r="L613" t="b">
        <v>1</v>
      </c>
      <c r="M613" t="b">
        <v>1</v>
      </c>
    </row>
    <row r="614" spans="1:13">
      <c r="A614" t="s">
        <v>148</v>
      </c>
      <c r="B614" t="s">
        <v>125</v>
      </c>
      <c r="C614">
        <v>7.5</v>
      </c>
      <c r="D614">
        <v>3.75</v>
      </c>
      <c r="E614">
        <v>0.00058858889618</v>
      </c>
      <c r="F614">
        <v>0</v>
      </c>
      <c r="G614">
        <v>0.0005885888961939</v>
      </c>
      <c r="H614">
        <v>0.033141942307111</v>
      </c>
      <c r="I614">
        <v>0</v>
      </c>
      <c r="J614" t="b">
        <v>1</v>
      </c>
      <c r="K614">
        <v>12.96142180230646</v>
      </c>
      <c r="L614" t="b">
        <v>1</v>
      </c>
      <c r="M614" t="b">
        <v>1</v>
      </c>
    </row>
    <row r="615" spans="1:13">
      <c r="A615" t="s">
        <v>148</v>
      </c>
      <c r="B615" t="s">
        <v>126</v>
      </c>
      <c r="C615">
        <v>7.5</v>
      </c>
      <c r="D615">
        <v>3.75</v>
      </c>
      <c r="E615">
        <v>0.00058858889618</v>
      </c>
      <c r="F615">
        <v>0</v>
      </c>
      <c r="G615">
        <v>0.0005885888961939</v>
      </c>
      <c r="H615">
        <v>0.0508124655322603</v>
      </c>
      <c r="I615">
        <v>0</v>
      </c>
      <c r="J615" t="b">
        <v>1</v>
      </c>
      <c r="K615">
        <v>12.89801451359409</v>
      </c>
      <c r="L615" t="b">
        <v>1</v>
      </c>
      <c r="M615" t="b">
        <v>1</v>
      </c>
    </row>
    <row r="616" spans="1:13">
      <c r="A616" t="s">
        <v>148</v>
      </c>
      <c r="B616" t="s">
        <v>127</v>
      </c>
      <c r="C616">
        <v>7.5</v>
      </c>
      <c r="D616">
        <v>3.75</v>
      </c>
      <c r="E616">
        <v>0.00058858889618</v>
      </c>
      <c r="F616">
        <v>0</v>
      </c>
      <c r="G616">
        <v>0.0005885888961939</v>
      </c>
      <c r="H616">
        <v>0.0688756237462655</v>
      </c>
      <c r="I616">
        <v>3.75</v>
      </c>
      <c r="J616" t="b">
        <v>1</v>
      </c>
      <c r="K616">
        <v>12.83620263575074</v>
      </c>
      <c r="L616" t="b">
        <v>1</v>
      </c>
      <c r="M616" t="b">
        <v>1</v>
      </c>
    </row>
    <row r="617" spans="1:13">
      <c r="A617" t="s">
        <v>148</v>
      </c>
      <c r="B617" t="s">
        <v>128</v>
      </c>
      <c r="C617">
        <v>7.5</v>
      </c>
      <c r="D617">
        <v>3.75</v>
      </c>
      <c r="E617">
        <v>0.00058858889618</v>
      </c>
      <c r="F617">
        <v>0</v>
      </c>
      <c r="G617">
        <v>0.0005885888961939</v>
      </c>
      <c r="H617">
        <v>0.0194011840043231</v>
      </c>
      <c r="I617">
        <v>0</v>
      </c>
      <c r="J617" t="b">
        <v>1</v>
      </c>
      <c r="K617">
        <v>12.34713765490483</v>
      </c>
      <c r="L617" t="b">
        <v>1</v>
      </c>
      <c r="M617" t="b">
        <v>1</v>
      </c>
    </row>
    <row r="618" spans="1:13">
      <c r="A618" t="s">
        <v>148</v>
      </c>
      <c r="B618" t="s">
        <v>129</v>
      </c>
      <c r="C618">
        <v>7.5</v>
      </c>
      <c r="D618">
        <v>3.75</v>
      </c>
      <c r="E618">
        <v>0.0005923904815603</v>
      </c>
      <c r="F618">
        <v>0</v>
      </c>
      <c r="G618">
        <v>0.0005885888961939</v>
      </c>
      <c r="H618">
        <v>0.0367665077578749</v>
      </c>
      <c r="I618">
        <v>3.75</v>
      </c>
      <c r="J618" t="b">
        <v>1</v>
      </c>
      <c r="K618">
        <v>12.27662421085469</v>
      </c>
      <c r="L618" t="b">
        <v>1</v>
      </c>
      <c r="M618" t="b">
        <v>1</v>
      </c>
    </row>
    <row r="619" spans="1:13">
      <c r="A619" t="s">
        <v>148</v>
      </c>
      <c r="B619" t="s">
        <v>130</v>
      </c>
      <c r="C619">
        <v>7.5</v>
      </c>
      <c r="D619">
        <v>3.75</v>
      </c>
      <c r="E619">
        <v>0.0006221286639021</v>
      </c>
      <c r="F619">
        <v>0</v>
      </c>
      <c r="G619">
        <v>0.0005885888961939</v>
      </c>
      <c r="H619">
        <v>0.0558130118139104</v>
      </c>
      <c r="I619">
        <v>3.75</v>
      </c>
      <c r="J619" t="b">
        <v>1</v>
      </c>
      <c r="K619">
        <v>12.19973896368742</v>
      </c>
      <c r="L619" t="b">
        <v>1</v>
      </c>
      <c r="M619" t="b">
        <v>1</v>
      </c>
    </row>
    <row r="620" spans="1:13">
      <c r="A620" t="s">
        <v>148</v>
      </c>
      <c r="B620" t="s">
        <v>131</v>
      </c>
      <c r="C620">
        <v>7.5</v>
      </c>
      <c r="D620">
        <v>3.75</v>
      </c>
      <c r="E620">
        <v>0.0008599047289029</v>
      </c>
      <c r="F620">
        <v>0</v>
      </c>
      <c r="G620">
        <v>0.0005885888961939</v>
      </c>
      <c r="H620">
        <v>0.0750637082458922</v>
      </c>
      <c r="I620">
        <v>0</v>
      </c>
      <c r="J620" t="b">
        <v>1</v>
      </c>
      <c r="K620">
        <v>12.14350385888423</v>
      </c>
      <c r="L620" t="b">
        <v>1</v>
      </c>
      <c r="M620" t="b">
        <v>1</v>
      </c>
    </row>
    <row r="621" spans="1:13">
      <c r="A621" t="s">
        <v>148</v>
      </c>
      <c r="B621" t="s">
        <v>132</v>
      </c>
      <c r="C621">
        <v>7.5</v>
      </c>
      <c r="D621">
        <v>3.75</v>
      </c>
      <c r="E621">
        <v>0.0013199355733824</v>
      </c>
      <c r="F621">
        <v>0</v>
      </c>
      <c r="G621">
        <v>0.0005885888961939</v>
      </c>
      <c r="H621">
        <v>0.0211029275959901</v>
      </c>
      <c r="I621">
        <v>0</v>
      </c>
      <c r="J621" t="b">
        <v>1</v>
      </c>
      <c r="K621">
        <v>11.82464468449211</v>
      </c>
      <c r="L621" t="b">
        <v>1</v>
      </c>
      <c r="M621" t="b">
        <v>1</v>
      </c>
    </row>
    <row r="622" spans="1:13">
      <c r="A622" t="s">
        <v>148</v>
      </c>
      <c r="B622" t="s">
        <v>133</v>
      </c>
      <c r="C622">
        <v>7.5</v>
      </c>
      <c r="D622">
        <v>3.75</v>
      </c>
      <c r="E622">
        <v>0.001352176330708</v>
      </c>
      <c r="F622">
        <v>0</v>
      </c>
      <c r="G622">
        <v>0.0005885888961939</v>
      </c>
      <c r="H622">
        <v>0.0397555733330534</v>
      </c>
      <c r="I622">
        <v>0</v>
      </c>
      <c r="J622" t="b">
        <v>1</v>
      </c>
      <c r="K622">
        <v>11.7519054568973</v>
      </c>
      <c r="L622" t="b">
        <v>1</v>
      </c>
      <c r="M622" t="b">
        <v>1</v>
      </c>
    </row>
    <row r="623" spans="1:13">
      <c r="A623" t="s">
        <v>148</v>
      </c>
      <c r="B623" t="s">
        <v>134</v>
      </c>
      <c r="C623">
        <v>7.5</v>
      </c>
      <c r="D623">
        <v>3.75</v>
      </c>
      <c r="E623">
        <v>0.0013913962976565</v>
      </c>
      <c r="F623">
        <v>0</v>
      </c>
      <c r="G623">
        <v>0.0005885888961939</v>
      </c>
      <c r="H623">
        <v>0.059920060031942</v>
      </c>
      <c r="I623">
        <v>0</v>
      </c>
      <c r="J623" t="b">
        <v>1</v>
      </c>
      <c r="K623">
        <v>11.67316483202256</v>
      </c>
      <c r="L623" t="b">
        <v>1</v>
      </c>
      <c r="M623" t="b">
        <v>1</v>
      </c>
    </row>
    <row r="624" spans="1:13">
      <c r="A624" t="s">
        <v>148</v>
      </c>
      <c r="B624" t="s">
        <v>135</v>
      </c>
      <c r="C624">
        <v>7.5</v>
      </c>
      <c r="D624">
        <v>3.75</v>
      </c>
      <c r="E624">
        <v>0.0021293818702208</v>
      </c>
      <c r="F624">
        <v>0</v>
      </c>
      <c r="G624">
        <v>0.0005885888961939</v>
      </c>
      <c r="H624">
        <v>0.07979423321370401</v>
      </c>
      <c r="I624">
        <v>3.75</v>
      </c>
      <c r="J624" t="b">
        <v>1</v>
      </c>
      <c r="K624">
        <v>11.61179054004116</v>
      </c>
      <c r="L624" t="b">
        <v>1</v>
      </c>
      <c r="M624" t="b">
        <v>1</v>
      </c>
    </row>
    <row r="625" spans="1:13">
      <c r="A625" t="s">
        <v>148</v>
      </c>
      <c r="B625" t="s">
        <v>136</v>
      </c>
      <c r="C625">
        <v>7.5</v>
      </c>
      <c r="D625">
        <v>3.75</v>
      </c>
      <c r="E625">
        <v>0.0006171671575257</v>
      </c>
      <c r="F625">
        <v>0</v>
      </c>
      <c r="G625">
        <v>0.0005885888961939</v>
      </c>
      <c r="H625">
        <v>0.0225206305711083</v>
      </c>
      <c r="I625">
        <v>3.75</v>
      </c>
      <c r="J625" t="b">
        <v>1</v>
      </c>
      <c r="K625">
        <v>11.39098122258986</v>
      </c>
      <c r="L625" t="b">
        <v>1</v>
      </c>
      <c r="M625" t="b">
        <v>1</v>
      </c>
    </row>
    <row r="626" spans="1:13">
      <c r="A626" t="s">
        <v>148</v>
      </c>
      <c r="B626" t="s">
        <v>137</v>
      </c>
      <c r="C626">
        <v>7.5</v>
      </c>
      <c r="D626">
        <v>3.75</v>
      </c>
      <c r="E626">
        <v>0.0006079682707504</v>
      </c>
      <c r="F626">
        <v>0</v>
      </c>
      <c r="G626">
        <v>0.0005885888961939</v>
      </c>
      <c r="H626">
        <v>0.042026924781112</v>
      </c>
      <c r="I626">
        <v>3.75</v>
      </c>
      <c r="J626" t="b">
        <v>1</v>
      </c>
      <c r="K626">
        <v>11.29928004107441</v>
      </c>
      <c r="L626" t="b">
        <v>1</v>
      </c>
      <c r="M626" t="b">
        <v>1</v>
      </c>
    </row>
    <row r="627" spans="1:13">
      <c r="A627" t="s">
        <v>148</v>
      </c>
      <c r="B627" t="s">
        <v>138</v>
      </c>
      <c r="C627">
        <v>7.5</v>
      </c>
      <c r="D627">
        <v>3.75</v>
      </c>
      <c r="E627">
        <v>0.000603621070761</v>
      </c>
      <c r="F627">
        <v>0</v>
      </c>
      <c r="G627">
        <v>0.0005885888961939</v>
      </c>
      <c r="H627">
        <v>0.06311471067513701</v>
      </c>
      <c r="I627">
        <v>3.75</v>
      </c>
      <c r="J627" t="b">
        <v>1</v>
      </c>
      <c r="K627">
        <v>11.23479411872523</v>
      </c>
      <c r="L627" t="b">
        <v>1</v>
      </c>
      <c r="M627" t="b">
        <v>1</v>
      </c>
    </row>
    <row r="628" spans="1:13">
      <c r="A628" t="s">
        <v>148</v>
      </c>
      <c r="B628" t="s">
        <v>139</v>
      </c>
      <c r="C628">
        <v>7.5</v>
      </c>
      <c r="D628">
        <v>3.75</v>
      </c>
      <c r="E628">
        <v>0.0016129947720791</v>
      </c>
      <c r="F628">
        <v>0</v>
      </c>
      <c r="G628">
        <v>0.0005885888961939</v>
      </c>
      <c r="H628">
        <v>0.0832866317078355</v>
      </c>
      <c r="I628">
        <v>0</v>
      </c>
      <c r="J628" t="b">
        <v>1</v>
      </c>
      <c r="K628">
        <v>11.17721958040754</v>
      </c>
      <c r="L628" t="b">
        <v>1</v>
      </c>
      <c r="M628" t="b">
        <v>1</v>
      </c>
    </row>
    <row r="629" spans="1:13">
      <c r="A629" t="s">
        <v>149</v>
      </c>
      <c r="B629" t="s">
        <v>116</v>
      </c>
      <c r="C629">
        <v>7.5</v>
      </c>
      <c r="D629">
        <v>3.75</v>
      </c>
      <c r="E629">
        <v>0.0007762086789773</v>
      </c>
      <c r="F629">
        <v>0</v>
      </c>
      <c r="G629">
        <v>0.0007762086789773</v>
      </c>
      <c r="H629">
        <v>0.0122290314930637</v>
      </c>
      <c r="I629">
        <v>3.75</v>
      </c>
      <c r="J629" t="b">
        <v>1</v>
      </c>
      <c r="K629">
        <v>16.77101923698956</v>
      </c>
      <c r="L629" t="b">
        <v>1</v>
      </c>
      <c r="M629" t="b">
        <v>1</v>
      </c>
    </row>
    <row r="630" spans="1:13">
      <c r="A630" t="s">
        <v>149</v>
      </c>
      <c r="B630" t="s">
        <v>117</v>
      </c>
      <c r="C630">
        <v>7.5</v>
      </c>
      <c r="D630">
        <v>3.75</v>
      </c>
      <c r="E630">
        <v>0.0007762086789773</v>
      </c>
      <c r="F630">
        <v>0</v>
      </c>
      <c r="G630">
        <v>0.0007762086789773</v>
      </c>
      <c r="H630">
        <v>0.0237947080250364</v>
      </c>
      <c r="I630">
        <v>0</v>
      </c>
      <c r="J630" t="b">
        <v>1</v>
      </c>
      <c r="K630">
        <v>16.77246557731706</v>
      </c>
      <c r="L630" t="b">
        <v>1</v>
      </c>
      <c r="M630" t="b">
        <v>1</v>
      </c>
    </row>
    <row r="631" spans="1:13">
      <c r="A631" t="s">
        <v>149</v>
      </c>
      <c r="B631" t="s">
        <v>118</v>
      </c>
      <c r="C631">
        <v>7.5</v>
      </c>
      <c r="D631">
        <v>3.75</v>
      </c>
      <c r="E631">
        <v>0.0007762086789773</v>
      </c>
      <c r="F631">
        <v>0</v>
      </c>
      <c r="G631">
        <v>0.0007762086789773</v>
      </c>
      <c r="H631">
        <v>0.0367837598489586</v>
      </c>
      <c r="I631">
        <v>3.75</v>
      </c>
      <c r="J631" t="b">
        <v>1</v>
      </c>
      <c r="K631">
        <v>16.70257896921328</v>
      </c>
      <c r="L631" t="b">
        <v>1</v>
      </c>
      <c r="M631" t="b">
        <v>1</v>
      </c>
    </row>
    <row r="632" spans="1:13">
      <c r="A632" t="s">
        <v>149</v>
      </c>
      <c r="B632" t="s">
        <v>119</v>
      </c>
      <c r="C632">
        <v>7.5</v>
      </c>
      <c r="D632">
        <v>3.75</v>
      </c>
      <c r="E632">
        <v>0.0007762086789773</v>
      </c>
      <c r="F632">
        <v>0</v>
      </c>
      <c r="G632">
        <v>0.0007762086789773</v>
      </c>
      <c r="H632">
        <v>0.0502242308238578</v>
      </c>
      <c r="I632">
        <v>3.75</v>
      </c>
      <c r="J632" t="b">
        <v>1</v>
      </c>
      <c r="K632">
        <v>16.63828387582313</v>
      </c>
      <c r="L632" t="b">
        <v>1</v>
      </c>
      <c r="M632" t="b">
        <v>1</v>
      </c>
    </row>
    <row r="633" spans="1:13">
      <c r="A633" t="s">
        <v>149</v>
      </c>
      <c r="B633" t="s">
        <v>120</v>
      </c>
      <c r="C633">
        <v>7.5</v>
      </c>
      <c r="D633">
        <v>3.75</v>
      </c>
      <c r="E633">
        <v>0.00077620867898</v>
      </c>
      <c r="F633">
        <v>0</v>
      </c>
      <c r="G633">
        <v>0.0007762086789773</v>
      </c>
      <c r="H633">
        <v>0.0169653095080661</v>
      </c>
      <c r="I633">
        <v>3.75</v>
      </c>
      <c r="J633" t="b">
        <v>1</v>
      </c>
      <c r="K633">
        <v>15.21710572210964</v>
      </c>
      <c r="L633" t="b">
        <v>1</v>
      </c>
      <c r="M633" t="b">
        <v>1</v>
      </c>
    </row>
    <row r="634" spans="1:13">
      <c r="A634" t="s">
        <v>149</v>
      </c>
      <c r="B634" t="s">
        <v>121</v>
      </c>
      <c r="C634">
        <v>7.5</v>
      </c>
      <c r="D634">
        <v>3.75</v>
      </c>
      <c r="E634">
        <v>0.00077620867898</v>
      </c>
      <c r="F634">
        <v>0</v>
      </c>
      <c r="G634">
        <v>0.0007762086789773</v>
      </c>
      <c r="H634">
        <v>0.0330251878871763</v>
      </c>
      <c r="I634">
        <v>0</v>
      </c>
      <c r="J634" t="b">
        <v>1</v>
      </c>
      <c r="K634">
        <v>15.16327317782498</v>
      </c>
      <c r="L634" t="b">
        <v>1</v>
      </c>
      <c r="M634" t="b">
        <v>1</v>
      </c>
    </row>
    <row r="635" spans="1:13">
      <c r="A635" t="s">
        <v>149</v>
      </c>
      <c r="B635" t="s">
        <v>122</v>
      </c>
      <c r="C635">
        <v>7.5</v>
      </c>
      <c r="D635">
        <v>3.75</v>
      </c>
      <c r="E635">
        <v>0.00077620867898</v>
      </c>
      <c r="F635">
        <v>0</v>
      </c>
      <c r="G635">
        <v>0.0007762086789773</v>
      </c>
      <c r="H635">
        <v>0.0515875993064582</v>
      </c>
      <c r="I635">
        <v>3.75</v>
      </c>
      <c r="J635" t="b">
        <v>1</v>
      </c>
      <c r="K635">
        <v>15.09926281963985</v>
      </c>
      <c r="L635" t="b">
        <v>1</v>
      </c>
      <c r="M635" t="b">
        <v>1</v>
      </c>
    </row>
    <row r="636" spans="1:13">
      <c r="A636" t="s">
        <v>149</v>
      </c>
      <c r="B636" t="s">
        <v>123</v>
      </c>
      <c r="C636">
        <v>7.5</v>
      </c>
      <c r="D636">
        <v>3.75</v>
      </c>
      <c r="E636">
        <v>0.00077620867898</v>
      </c>
      <c r="F636">
        <v>0</v>
      </c>
      <c r="G636">
        <v>0.0007762086789773</v>
      </c>
      <c r="H636">
        <v>0.07138360552613671</v>
      </c>
      <c r="I636">
        <v>3.75</v>
      </c>
      <c r="J636" t="b">
        <v>1</v>
      </c>
      <c r="K636">
        <v>15.04281465489896</v>
      </c>
      <c r="L636" t="b">
        <v>1</v>
      </c>
      <c r="M636" t="b">
        <v>1</v>
      </c>
    </row>
    <row r="637" spans="1:13">
      <c r="A637" t="s">
        <v>149</v>
      </c>
      <c r="B637" t="s">
        <v>124</v>
      </c>
      <c r="C637">
        <v>7.5</v>
      </c>
      <c r="D637">
        <v>3.75</v>
      </c>
      <c r="E637">
        <v>0.0007762086789908</v>
      </c>
      <c r="F637">
        <v>0</v>
      </c>
      <c r="G637">
        <v>0.0007762086789773</v>
      </c>
      <c r="H637">
        <v>0.0202498134649999</v>
      </c>
      <c r="I637">
        <v>3.75</v>
      </c>
      <c r="J637" t="b">
        <v>1</v>
      </c>
      <c r="K637">
        <v>14.27512238930149</v>
      </c>
      <c r="L637" t="b">
        <v>1</v>
      </c>
      <c r="M637" t="b">
        <v>1</v>
      </c>
    </row>
    <row r="638" spans="1:13">
      <c r="A638" t="s">
        <v>149</v>
      </c>
      <c r="B638" t="s">
        <v>125</v>
      </c>
      <c r="C638">
        <v>7.5</v>
      </c>
      <c r="D638">
        <v>3.75</v>
      </c>
      <c r="E638">
        <v>0.0007762086789908</v>
      </c>
      <c r="F638">
        <v>0</v>
      </c>
      <c r="G638">
        <v>0.0007762086789773</v>
      </c>
      <c r="H638">
        <v>0.0394445130407348</v>
      </c>
      <c r="I638">
        <v>3.75</v>
      </c>
      <c r="J638" t="b">
        <v>1</v>
      </c>
      <c r="K638">
        <v>14.22422121688527</v>
      </c>
      <c r="L638" t="b">
        <v>1</v>
      </c>
      <c r="M638" t="b">
        <v>1</v>
      </c>
    </row>
    <row r="639" spans="1:13">
      <c r="A639" t="s">
        <v>149</v>
      </c>
      <c r="B639" t="s">
        <v>126</v>
      </c>
      <c r="C639">
        <v>7.5</v>
      </c>
      <c r="D639">
        <v>3.75</v>
      </c>
      <c r="E639">
        <v>0.0007762086789908</v>
      </c>
      <c r="F639">
        <v>0</v>
      </c>
      <c r="G639">
        <v>0.0007762086789773</v>
      </c>
      <c r="H639">
        <v>0.0611790583529341</v>
      </c>
      <c r="I639">
        <v>3.75</v>
      </c>
      <c r="J639" t="b">
        <v>1</v>
      </c>
      <c r="K639">
        <v>14.12996669334561</v>
      </c>
      <c r="L639" t="b">
        <v>1</v>
      </c>
      <c r="M639" t="b">
        <v>1</v>
      </c>
    </row>
    <row r="640" spans="1:13">
      <c r="A640" t="s">
        <v>149</v>
      </c>
      <c r="B640" t="s">
        <v>127</v>
      </c>
      <c r="C640">
        <v>7.5</v>
      </c>
      <c r="D640">
        <v>3.75</v>
      </c>
      <c r="E640">
        <v>0.0007762086789908</v>
      </c>
      <c r="F640">
        <v>0</v>
      </c>
      <c r="G640">
        <v>0.0007762086789773</v>
      </c>
      <c r="H640">
        <v>0.0842000063472312</v>
      </c>
      <c r="I640">
        <v>0</v>
      </c>
      <c r="J640" t="b">
        <v>1</v>
      </c>
      <c r="K640">
        <v>14.05664017671739</v>
      </c>
      <c r="L640" t="b">
        <v>1</v>
      </c>
      <c r="M640" t="b">
        <v>1</v>
      </c>
    </row>
    <row r="641" spans="1:13">
      <c r="A641" t="s">
        <v>149</v>
      </c>
      <c r="B641" t="s">
        <v>128</v>
      </c>
      <c r="C641">
        <v>7.5</v>
      </c>
      <c r="D641">
        <v>3.75</v>
      </c>
      <c r="E641">
        <v>0.0007762086789908</v>
      </c>
      <c r="F641">
        <v>0</v>
      </c>
      <c r="G641">
        <v>0.0007762086789773</v>
      </c>
      <c r="H641">
        <v>0.0228990970524023</v>
      </c>
      <c r="I641">
        <v>0</v>
      </c>
      <c r="J641" t="b">
        <v>1</v>
      </c>
      <c r="K641">
        <v>13.60702484799248</v>
      </c>
      <c r="L641" t="b">
        <v>1</v>
      </c>
      <c r="M641" t="b">
        <v>1</v>
      </c>
    </row>
    <row r="642" spans="1:13">
      <c r="A642" t="s">
        <v>149</v>
      </c>
      <c r="B642" t="s">
        <v>129</v>
      </c>
      <c r="C642">
        <v>7.5</v>
      </c>
      <c r="D642">
        <v>3.75</v>
      </c>
      <c r="E642">
        <v>0.0007762086789908</v>
      </c>
      <c r="F642">
        <v>0</v>
      </c>
      <c r="G642">
        <v>0.0007762086789773</v>
      </c>
      <c r="H642">
        <v>0.0442382239224343</v>
      </c>
      <c r="I642">
        <v>3.75</v>
      </c>
      <c r="J642" t="b">
        <v>1</v>
      </c>
      <c r="K642">
        <v>13.51973686108039</v>
      </c>
      <c r="L642" t="b">
        <v>1</v>
      </c>
      <c r="M642" t="b">
        <v>1</v>
      </c>
    </row>
    <row r="643" spans="1:13">
      <c r="A643" t="s">
        <v>149</v>
      </c>
      <c r="B643" t="s">
        <v>130</v>
      </c>
      <c r="C643">
        <v>7.5</v>
      </c>
      <c r="D643">
        <v>3.75</v>
      </c>
      <c r="E643">
        <v>0.0007762086789908</v>
      </c>
      <c r="F643">
        <v>0</v>
      </c>
      <c r="G643">
        <v>0.0007762086789773</v>
      </c>
      <c r="H643">
        <v>0.06882876991588199</v>
      </c>
      <c r="I643">
        <v>0</v>
      </c>
      <c r="J643" t="b">
        <v>1</v>
      </c>
      <c r="K643">
        <v>13.45327842824346</v>
      </c>
      <c r="L643" t="b">
        <v>1</v>
      </c>
      <c r="M643" t="b">
        <v>1</v>
      </c>
    </row>
    <row r="644" spans="1:13">
      <c r="A644" t="s">
        <v>149</v>
      </c>
      <c r="B644" t="s">
        <v>131</v>
      </c>
      <c r="C644">
        <v>7.5</v>
      </c>
      <c r="D644">
        <v>3.75</v>
      </c>
      <c r="E644">
        <v>0.0007762086789908</v>
      </c>
      <c r="F644">
        <v>0</v>
      </c>
      <c r="G644">
        <v>0.0007762086789773</v>
      </c>
      <c r="H644">
        <v>0.0942485773488783</v>
      </c>
      <c r="I644">
        <v>0</v>
      </c>
      <c r="J644" t="b">
        <v>1</v>
      </c>
      <c r="K644">
        <v>13.37286734512659</v>
      </c>
      <c r="L644" t="b">
        <v>1</v>
      </c>
      <c r="M644" t="b">
        <v>1</v>
      </c>
    </row>
    <row r="645" spans="1:13">
      <c r="A645" t="s">
        <v>149</v>
      </c>
      <c r="B645" t="s">
        <v>132</v>
      </c>
      <c r="C645">
        <v>7.5</v>
      </c>
      <c r="D645">
        <v>3.75</v>
      </c>
      <c r="E645">
        <v>0.00077620867898</v>
      </c>
      <c r="F645">
        <v>0</v>
      </c>
      <c r="G645">
        <v>0.0007762086789773</v>
      </c>
      <c r="H645">
        <v>0.0250801238600217</v>
      </c>
      <c r="I645">
        <v>0</v>
      </c>
      <c r="J645" t="b">
        <v>1</v>
      </c>
      <c r="K645">
        <v>13.06682946693201</v>
      </c>
      <c r="L645" t="b">
        <v>1</v>
      </c>
      <c r="M645" t="b">
        <v>1</v>
      </c>
    </row>
    <row r="646" spans="1:13">
      <c r="A646" t="s">
        <v>149</v>
      </c>
      <c r="B646" t="s">
        <v>133</v>
      </c>
      <c r="C646">
        <v>7.5</v>
      </c>
      <c r="D646">
        <v>3.75</v>
      </c>
      <c r="E646">
        <v>0.00077620867898</v>
      </c>
      <c r="F646">
        <v>0</v>
      </c>
      <c r="G646">
        <v>0.0007762086789773</v>
      </c>
      <c r="H646">
        <v>0.0485479510526261</v>
      </c>
      <c r="I646">
        <v>0</v>
      </c>
      <c r="J646" t="b">
        <v>1</v>
      </c>
      <c r="K646">
        <v>13.00467369228002</v>
      </c>
      <c r="L646" t="b">
        <v>1</v>
      </c>
      <c r="M646" t="b">
        <v>1</v>
      </c>
    </row>
    <row r="647" spans="1:13">
      <c r="A647" t="s">
        <v>149</v>
      </c>
      <c r="B647" t="s">
        <v>134</v>
      </c>
      <c r="C647">
        <v>7.5</v>
      </c>
      <c r="D647">
        <v>3.75</v>
      </c>
      <c r="E647">
        <v>0.00077620867898</v>
      </c>
      <c r="F647">
        <v>0</v>
      </c>
      <c r="G647">
        <v>0.0007762086789773</v>
      </c>
      <c r="H647">
        <v>0.07490148706006031</v>
      </c>
      <c r="I647">
        <v>3.75</v>
      </c>
      <c r="J647" t="b">
        <v>1</v>
      </c>
      <c r="K647">
        <v>12.90562316575361</v>
      </c>
      <c r="L647" t="b">
        <v>1</v>
      </c>
      <c r="M647" t="b">
        <v>1</v>
      </c>
    </row>
    <row r="648" spans="1:13">
      <c r="A648" t="s">
        <v>149</v>
      </c>
      <c r="B648" t="s">
        <v>135</v>
      </c>
      <c r="C648">
        <v>7.5</v>
      </c>
      <c r="D648">
        <v>3.75</v>
      </c>
      <c r="E648">
        <v>0.00077620867898</v>
      </c>
      <c r="F648">
        <v>0</v>
      </c>
      <c r="G648">
        <v>0.0007762086789773</v>
      </c>
      <c r="H648">
        <v>0.1024491620944729</v>
      </c>
      <c r="I648">
        <v>0</v>
      </c>
      <c r="J648" t="b">
        <v>1</v>
      </c>
      <c r="K648">
        <v>12.83581907725377</v>
      </c>
      <c r="L648" t="b">
        <v>1</v>
      </c>
      <c r="M648" t="b">
        <v>1</v>
      </c>
    </row>
    <row r="649" spans="1:13">
      <c r="A649" t="s">
        <v>149</v>
      </c>
      <c r="B649" t="s">
        <v>136</v>
      </c>
      <c r="C649">
        <v>7.5</v>
      </c>
      <c r="D649">
        <v>3.75</v>
      </c>
      <c r="E649">
        <v>0.00077620867898</v>
      </c>
      <c r="F649">
        <v>0</v>
      </c>
      <c r="G649">
        <v>0.0007762086789773</v>
      </c>
      <c r="H649">
        <v>0.0270740630436989</v>
      </c>
      <c r="I649">
        <v>0</v>
      </c>
      <c r="J649" t="b">
        <v>1</v>
      </c>
      <c r="K649">
        <v>12.6435144283576</v>
      </c>
      <c r="L649" t="b">
        <v>1</v>
      </c>
      <c r="M649" t="b">
        <v>1</v>
      </c>
    </row>
    <row r="650" spans="1:13">
      <c r="A650" t="s">
        <v>149</v>
      </c>
      <c r="B650" t="s">
        <v>137</v>
      </c>
      <c r="C650">
        <v>7.5</v>
      </c>
      <c r="D650">
        <v>3.75</v>
      </c>
      <c r="E650">
        <v>0.00077620867898</v>
      </c>
      <c r="F650">
        <v>0</v>
      </c>
      <c r="G650">
        <v>0.0007762086789773</v>
      </c>
      <c r="H650">
        <v>0.0520216857521518</v>
      </c>
      <c r="I650">
        <v>3.75</v>
      </c>
      <c r="J650" t="b">
        <v>1</v>
      </c>
      <c r="K650">
        <v>12.55136618923842</v>
      </c>
      <c r="L650" t="b">
        <v>1</v>
      </c>
      <c r="M650" t="b">
        <v>1</v>
      </c>
    </row>
    <row r="651" spans="1:13">
      <c r="A651" t="s">
        <v>149</v>
      </c>
      <c r="B651" t="s">
        <v>138</v>
      </c>
      <c r="C651">
        <v>7.5</v>
      </c>
      <c r="D651">
        <v>3.75</v>
      </c>
      <c r="E651">
        <v>0.00077620867898</v>
      </c>
      <c r="F651">
        <v>0</v>
      </c>
      <c r="G651">
        <v>0.0007762086789773</v>
      </c>
      <c r="H651">
        <v>0.0801613356188681</v>
      </c>
      <c r="I651">
        <v>3.75</v>
      </c>
      <c r="J651" t="b">
        <v>1</v>
      </c>
      <c r="K651">
        <v>12.45895277357931</v>
      </c>
      <c r="L651" t="b">
        <v>1</v>
      </c>
      <c r="M651" t="b">
        <v>1</v>
      </c>
    </row>
    <row r="652" spans="1:13">
      <c r="A652" t="s">
        <v>149</v>
      </c>
      <c r="B652" t="s">
        <v>139</v>
      </c>
      <c r="C652">
        <v>7.5</v>
      </c>
      <c r="D652">
        <v>3.75</v>
      </c>
      <c r="E652">
        <v>0.00077620867898</v>
      </c>
      <c r="F652">
        <v>0</v>
      </c>
      <c r="G652">
        <v>0.0007762086789773</v>
      </c>
      <c r="H652">
        <v>0.1094713942094642</v>
      </c>
      <c r="I652">
        <v>0</v>
      </c>
      <c r="J652" t="b">
        <v>1</v>
      </c>
      <c r="K652">
        <v>12.39874076555019</v>
      </c>
      <c r="L652" t="b">
        <v>1</v>
      </c>
      <c r="M652" t="b">
        <v>1</v>
      </c>
    </row>
    <row r="653" spans="1:13">
      <c r="A653" t="s">
        <v>114</v>
      </c>
      <c r="B653" t="s">
        <v>116</v>
      </c>
      <c r="C653">
        <v>3.75</v>
      </c>
      <c r="D653">
        <v>1.875</v>
      </c>
      <c r="E653">
        <v>5.029020852545138E-05</v>
      </c>
      <c r="F653">
        <v>0</v>
      </c>
      <c r="G653">
        <v>5.029020848796597E-05</v>
      </c>
      <c r="H653">
        <v>0.004388036204709</v>
      </c>
      <c r="I653">
        <v>1.875</v>
      </c>
      <c r="J653" t="b">
        <v>1</v>
      </c>
      <c r="K653">
        <v>7.462783377607707</v>
      </c>
      <c r="L653" t="b">
        <v>1</v>
      </c>
      <c r="M653" t="b">
        <v>1</v>
      </c>
    </row>
    <row r="654" spans="1:13">
      <c r="A654" t="s">
        <v>114</v>
      </c>
      <c r="B654" t="s">
        <v>117</v>
      </c>
      <c r="C654">
        <v>3.75</v>
      </c>
      <c r="D654">
        <v>1.875</v>
      </c>
      <c r="E654">
        <v>5.029020852545138E-05</v>
      </c>
      <c r="F654">
        <v>0</v>
      </c>
      <c r="G654">
        <v>5.029020848796597E-05</v>
      </c>
      <c r="H654">
        <v>0.0078078816915194</v>
      </c>
      <c r="I654">
        <v>0</v>
      </c>
      <c r="J654" t="b">
        <v>1</v>
      </c>
      <c r="K654">
        <v>7.396127266960661</v>
      </c>
      <c r="L654" t="b">
        <v>1</v>
      </c>
      <c r="M654" t="b">
        <v>1</v>
      </c>
    </row>
    <row r="655" spans="1:13">
      <c r="A655" t="s">
        <v>114</v>
      </c>
      <c r="B655" t="s">
        <v>118</v>
      </c>
      <c r="C655">
        <v>3.75</v>
      </c>
      <c r="D655">
        <v>1.875</v>
      </c>
      <c r="E655">
        <v>5.029020852545138E-05</v>
      </c>
      <c r="F655">
        <v>0</v>
      </c>
      <c r="G655">
        <v>5.029020848796597E-05</v>
      </c>
      <c r="H655">
        <v>0.0110612641335876</v>
      </c>
      <c r="I655">
        <v>0</v>
      </c>
      <c r="J655" t="b">
        <v>1</v>
      </c>
      <c r="K655">
        <v>7.337652503881031</v>
      </c>
      <c r="L655" t="b">
        <v>1</v>
      </c>
      <c r="M655" t="b">
        <v>1</v>
      </c>
    </row>
    <row r="656" spans="1:13">
      <c r="A656" t="s">
        <v>114</v>
      </c>
      <c r="B656" t="s">
        <v>119</v>
      </c>
      <c r="C656">
        <v>3.75</v>
      </c>
      <c r="D656">
        <v>1.875</v>
      </c>
      <c r="E656">
        <v>5.029020852532642E-05</v>
      </c>
      <c r="F656">
        <v>0</v>
      </c>
      <c r="G656">
        <v>5.029020848796597E-05</v>
      </c>
      <c r="H656">
        <v>0.0137765029468823</v>
      </c>
      <c r="I656">
        <v>0</v>
      </c>
      <c r="J656" t="b">
        <v>1</v>
      </c>
      <c r="K656">
        <v>7.302514063608356</v>
      </c>
      <c r="L656" t="b">
        <v>1</v>
      </c>
      <c r="M656" t="b">
        <v>1</v>
      </c>
    </row>
    <row r="657" spans="1:13">
      <c r="A657" t="s">
        <v>114</v>
      </c>
      <c r="B657" t="s">
        <v>120</v>
      </c>
      <c r="C657">
        <v>3.75</v>
      </c>
      <c r="D657">
        <v>1.875</v>
      </c>
      <c r="E657">
        <v>4.828487820174152E-05</v>
      </c>
      <c r="F657">
        <v>0</v>
      </c>
      <c r="G657">
        <v>5.029020848796597E-05</v>
      </c>
      <c r="H657">
        <v>0.0057891994462799</v>
      </c>
      <c r="I657">
        <v>1.875</v>
      </c>
      <c r="J657" t="b">
        <v>1</v>
      </c>
      <c r="K657">
        <v>6.641734057197368</v>
      </c>
      <c r="L657" t="b">
        <v>1</v>
      </c>
      <c r="M657" t="b">
        <v>1</v>
      </c>
    </row>
    <row r="658" spans="1:13">
      <c r="A658" t="s">
        <v>114</v>
      </c>
      <c r="B658" t="s">
        <v>121</v>
      </c>
      <c r="C658">
        <v>3.75</v>
      </c>
      <c r="D658">
        <v>1.875</v>
      </c>
      <c r="E658">
        <v>0.0004865583136303</v>
      </c>
      <c r="F658">
        <v>0</v>
      </c>
      <c r="G658">
        <v>5.029020848796597E-05</v>
      </c>
      <c r="H658">
        <v>0.0100860031254494</v>
      </c>
      <c r="I658">
        <v>1.875</v>
      </c>
      <c r="J658" t="b">
        <v>1</v>
      </c>
      <c r="K658">
        <v>6.571114861931449</v>
      </c>
      <c r="L658" t="b">
        <v>1</v>
      </c>
      <c r="M658" t="b">
        <v>1</v>
      </c>
    </row>
    <row r="659" spans="1:13">
      <c r="A659" t="s">
        <v>114</v>
      </c>
      <c r="B659" t="s">
        <v>122</v>
      </c>
      <c r="C659">
        <v>3.75</v>
      </c>
      <c r="D659">
        <v>1.875</v>
      </c>
      <c r="E659">
        <v>0.009078381189355601</v>
      </c>
      <c r="F659">
        <v>0</v>
      </c>
      <c r="G659">
        <v>5.029020848796597E-05</v>
      </c>
      <c r="H659">
        <v>0.0136609462277517</v>
      </c>
      <c r="I659">
        <v>1.875</v>
      </c>
      <c r="J659" t="b">
        <v>1</v>
      </c>
      <c r="K659">
        <v>6.521711069994041</v>
      </c>
      <c r="L659" t="b">
        <v>1</v>
      </c>
      <c r="M659" t="b">
        <v>1</v>
      </c>
    </row>
    <row r="660" spans="1:13">
      <c r="A660" t="s">
        <v>114</v>
      </c>
      <c r="B660" t="s">
        <v>123</v>
      </c>
      <c r="C660">
        <v>3.75</v>
      </c>
      <c r="D660">
        <v>1.875</v>
      </c>
      <c r="E660">
        <v>0.0001753320695722</v>
      </c>
      <c r="F660">
        <v>0.000282452206896</v>
      </c>
      <c r="G660">
        <v>5.029020848796597E-05</v>
      </c>
      <c r="H660">
        <v>0</v>
      </c>
      <c r="J660" t="b">
        <v>1</v>
      </c>
      <c r="K660">
        <v>5.340281943350078</v>
      </c>
      <c r="L660" t="b">
        <v>1</v>
      </c>
      <c r="M660" t="b">
        <v>1</v>
      </c>
    </row>
    <row r="661" spans="1:13">
      <c r="A661" t="s">
        <v>114</v>
      </c>
      <c r="B661" t="s">
        <v>124</v>
      </c>
      <c r="C661">
        <v>3.75</v>
      </c>
      <c r="D661">
        <v>1.875</v>
      </c>
      <c r="E661">
        <v>4.308226671207681E-05</v>
      </c>
      <c r="F661">
        <v>8.157981732567949E-05</v>
      </c>
      <c r="G661">
        <v>5.029020848796597E-05</v>
      </c>
      <c r="H661">
        <v>0</v>
      </c>
      <c r="J661" t="b">
        <v>1</v>
      </c>
      <c r="K661">
        <v>3.785365400013063</v>
      </c>
      <c r="L661" t="b">
        <v>1</v>
      </c>
      <c r="M661" t="b">
        <v>1</v>
      </c>
    </row>
    <row r="662" spans="1:13">
      <c r="A662" t="s">
        <v>114</v>
      </c>
      <c r="B662" t="s">
        <v>125</v>
      </c>
      <c r="C662">
        <v>3.75</v>
      </c>
      <c r="D662">
        <v>1.875</v>
      </c>
      <c r="E662">
        <v>8.205747747039199E-05</v>
      </c>
      <c r="F662">
        <v>0.0001495674340267</v>
      </c>
      <c r="G662">
        <v>5.029020848796597E-05</v>
      </c>
      <c r="H662">
        <v>0</v>
      </c>
      <c r="J662" t="b">
        <v>1</v>
      </c>
      <c r="K662">
        <v>4.20243589981979</v>
      </c>
      <c r="L662" t="b">
        <v>1</v>
      </c>
      <c r="M662" t="b">
        <v>1</v>
      </c>
    </row>
    <row r="663" spans="1:13">
      <c r="A663" t="s">
        <v>114</v>
      </c>
      <c r="B663" t="s">
        <v>126</v>
      </c>
      <c r="C663">
        <v>3.75</v>
      </c>
      <c r="D663">
        <v>1.875</v>
      </c>
      <c r="E663">
        <v>0.0001271536964506</v>
      </c>
      <c r="F663">
        <v>0.0002201282424208</v>
      </c>
      <c r="G663">
        <v>5.029020848796597E-05</v>
      </c>
      <c r="H663">
        <v>0</v>
      </c>
      <c r="J663" t="b">
        <v>1</v>
      </c>
      <c r="K663">
        <v>4.514191896178943</v>
      </c>
      <c r="L663" t="b">
        <v>1</v>
      </c>
      <c r="M663" t="b">
        <v>1</v>
      </c>
    </row>
    <row r="664" spans="1:13">
      <c r="A664" t="s">
        <v>114</v>
      </c>
      <c r="B664" t="s">
        <v>127</v>
      </c>
      <c r="C664">
        <v>3.75</v>
      </c>
      <c r="D664">
        <v>1.875</v>
      </c>
      <c r="E664">
        <v>0.0001753320695722</v>
      </c>
      <c r="F664">
        <v>0.000282452206896</v>
      </c>
      <c r="G664">
        <v>5.029020848796597E-05</v>
      </c>
      <c r="H664">
        <v>0</v>
      </c>
      <c r="J664" t="b">
        <v>1</v>
      </c>
      <c r="K664">
        <v>4.770037474655453</v>
      </c>
      <c r="L664" t="b">
        <v>1</v>
      </c>
      <c r="M664" t="b">
        <v>1</v>
      </c>
    </row>
    <row r="665" spans="1:13">
      <c r="A665" t="s">
        <v>114</v>
      </c>
      <c r="B665" t="s">
        <v>128</v>
      </c>
      <c r="C665">
        <v>3.75</v>
      </c>
      <c r="D665">
        <v>1.875</v>
      </c>
      <c r="E665">
        <v>4.308226671207681E-05</v>
      </c>
      <c r="F665">
        <v>8.157981732567949E-05</v>
      </c>
      <c r="G665">
        <v>5.029020848796597E-05</v>
      </c>
      <c r="H665">
        <v>0</v>
      </c>
      <c r="J665" t="b">
        <v>1</v>
      </c>
      <c r="K665">
        <v>3.380820415148378</v>
      </c>
      <c r="L665" t="b">
        <v>1</v>
      </c>
      <c r="M665" t="b">
        <v>1</v>
      </c>
    </row>
    <row r="666" spans="1:13">
      <c r="A666" t="s">
        <v>114</v>
      </c>
      <c r="B666" t="s">
        <v>129</v>
      </c>
      <c r="C666">
        <v>3.75</v>
      </c>
      <c r="D666">
        <v>1.875</v>
      </c>
      <c r="E666">
        <v>8.205747747039199E-05</v>
      </c>
      <c r="F666">
        <v>0.0001495674340267</v>
      </c>
      <c r="G666">
        <v>5.029020848796597E-05</v>
      </c>
      <c r="H666">
        <v>0</v>
      </c>
      <c r="J666" t="b">
        <v>1</v>
      </c>
      <c r="K666">
        <v>3.797926328745405</v>
      </c>
      <c r="L666" t="b">
        <v>1</v>
      </c>
      <c r="M666" t="b">
        <v>1</v>
      </c>
    </row>
    <row r="667" spans="1:13">
      <c r="A667" t="s">
        <v>114</v>
      </c>
      <c r="B667" t="s">
        <v>130</v>
      </c>
      <c r="C667">
        <v>3.75</v>
      </c>
      <c r="D667">
        <v>1.875</v>
      </c>
      <c r="E667">
        <v>0.0001271536964506</v>
      </c>
      <c r="F667">
        <v>0.0002201282424208</v>
      </c>
      <c r="G667">
        <v>5.029020848796597E-05</v>
      </c>
      <c r="H667">
        <v>0</v>
      </c>
      <c r="J667" t="b">
        <v>1</v>
      </c>
      <c r="K667">
        <v>4.109718802683915</v>
      </c>
      <c r="L667" t="b">
        <v>1</v>
      </c>
      <c r="M667" t="b">
        <v>1</v>
      </c>
    </row>
    <row r="668" spans="1:13">
      <c r="A668" t="s">
        <v>114</v>
      </c>
      <c r="B668" t="s">
        <v>131</v>
      </c>
      <c r="C668">
        <v>3.75</v>
      </c>
      <c r="D668">
        <v>1.875</v>
      </c>
      <c r="E668">
        <v>0.0001753320695722</v>
      </c>
      <c r="F668">
        <v>0.000282452206896</v>
      </c>
      <c r="G668">
        <v>5.029020848796597E-05</v>
      </c>
      <c r="H668">
        <v>0</v>
      </c>
      <c r="J668" t="b">
        <v>1</v>
      </c>
      <c r="K668">
        <v>4.365549661731549</v>
      </c>
      <c r="L668" t="b">
        <v>1</v>
      </c>
      <c r="M668" t="b">
        <v>1</v>
      </c>
    </row>
    <row r="669" spans="1:13">
      <c r="A669" t="s">
        <v>114</v>
      </c>
      <c r="B669" t="s">
        <v>132</v>
      </c>
      <c r="C669">
        <v>3.75</v>
      </c>
      <c r="D669">
        <v>1.875</v>
      </c>
      <c r="E669">
        <v>4.308226671207681E-05</v>
      </c>
      <c r="F669">
        <v>8.157981732567949E-05</v>
      </c>
      <c r="G669">
        <v>5.029020848796597E-05</v>
      </c>
      <c r="H669">
        <v>0</v>
      </c>
      <c r="J669" t="b">
        <v>1</v>
      </c>
      <c r="K669">
        <v>3.067008689257023</v>
      </c>
      <c r="L669" t="b">
        <v>1</v>
      </c>
      <c r="M669" t="b">
        <v>1</v>
      </c>
    </row>
    <row r="670" spans="1:13">
      <c r="A670" t="s">
        <v>114</v>
      </c>
      <c r="B670" t="s">
        <v>133</v>
      </c>
      <c r="C670">
        <v>3.75</v>
      </c>
      <c r="D670">
        <v>1.875</v>
      </c>
      <c r="E670">
        <v>8.205747747039199E-05</v>
      </c>
      <c r="F670">
        <v>0.0001495674340267</v>
      </c>
      <c r="G670">
        <v>5.029020848796597E-05</v>
      </c>
      <c r="H670">
        <v>0</v>
      </c>
      <c r="J670" t="b">
        <v>1</v>
      </c>
      <c r="K670">
        <v>3.484128556428345</v>
      </c>
      <c r="L670" t="b">
        <v>1</v>
      </c>
      <c r="M670" t="b">
        <v>1</v>
      </c>
    </row>
    <row r="671" spans="1:13">
      <c r="A671" t="s">
        <v>114</v>
      </c>
      <c r="B671" t="s">
        <v>134</v>
      </c>
      <c r="C671">
        <v>3.75</v>
      </c>
      <c r="D671">
        <v>1.875</v>
      </c>
      <c r="E671">
        <v>0.0001271536964506</v>
      </c>
      <c r="F671">
        <v>0.0002201282424208</v>
      </c>
      <c r="G671">
        <v>5.029020848796597E-05</v>
      </c>
      <c r="H671">
        <v>0</v>
      </c>
      <c r="J671" t="b">
        <v>1</v>
      </c>
      <c r="K671">
        <v>3.795923444704385</v>
      </c>
      <c r="L671" t="b">
        <v>1</v>
      </c>
      <c r="M671" t="b">
        <v>1</v>
      </c>
    </row>
    <row r="672" spans="1:13">
      <c r="A672" t="s">
        <v>114</v>
      </c>
      <c r="B672" t="s">
        <v>135</v>
      </c>
      <c r="C672">
        <v>3.75</v>
      </c>
      <c r="D672">
        <v>1.875</v>
      </c>
      <c r="E672">
        <v>0.0001753320695722</v>
      </c>
      <c r="F672">
        <v>0.000282452206896</v>
      </c>
      <c r="G672">
        <v>5.029020848796597E-05</v>
      </c>
      <c r="H672">
        <v>0</v>
      </c>
      <c r="J672" t="b">
        <v>1</v>
      </c>
      <c r="K672">
        <v>4.051954849562378</v>
      </c>
      <c r="L672" t="b">
        <v>1</v>
      </c>
      <c r="M672" t="b">
        <v>1</v>
      </c>
    </row>
    <row r="673" spans="1:13">
      <c r="A673" t="s">
        <v>114</v>
      </c>
      <c r="B673" t="s">
        <v>136</v>
      </c>
      <c r="C673">
        <v>3.75</v>
      </c>
      <c r="D673">
        <v>1.875</v>
      </c>
      <c r="E673">
        <v>4.308226671207681E-05</v>
      </c>
      <c r="F673">
        <v>8.157981732567949E-05</v>
      </c>
      <c r="G673">
        <v>5.029020848796597E-05</v>
      </c>
      <c r="H673">
        <v>0</v>
      </c>
      <c r="J673" t="b">
        <v>1</v>
      </c>
      <c r="K673">
        <v>2.810697370399851</v>
      </c>
      <c r="L673" t="b">
        <v>1</v>
      </c>
      <c r="M673" t="b">
        <v>1</v>
      </c>
    </row>
    <row r="674" spans="1:13">
      <c r="A674" t="s">
        <v>114</v>
      </c>
      <c r="B674" t="s">
        <v>137</v>
      </c>
      <c r="C674">
        <v>3.75</v>
      </c>
      <c r="D674">
        <v>1.875</v>
      </c>
      <c r="E674">
        <v>8.205747747039199E-05</v>
      </c>
      <c r="F674">
        <v>0.0001495674340267</v>
      </c>
      <c r="G674">
        <v>5.029020848796597E-05</v>
      </c>
      <c r="H674">
        <v>0</v>
      </c>
      <c r="J674" t="b">
        <v>1</v>
      </c>
      <c r="K674">
        <v>3.227806221774898</v>
      </c>
      <c r="L674" t="b">
        <v>1</v>
      </c>
      <c r="M674" t="b">
        <v>1</v>
      </c>
    </row>
    <row r="675" spans="1:13">
      <c r="A675" t="s">
        <v>114</v>
      </c>
      <c r="B675" t="s">
        <v>138</v>
      </c>
      <c r="C675">
        <v>3.75</v>
      </c>
      <c r="D675">
        <v>1.875</v>
      </c>
      <c r="E675">
        <v>0.0001271536964506</v>
      </c>
      <c r="F675">
        <v>0.0002201282424208</v>
      </c>
      <c r="G675">
        <v>5.029020848796597E-05</v>
      </c>
      <c r="H675">
        <v>0</v>
      </c>
      <c r="J675" t="b">
        <v>1</v>
      </c>
      <c r="K675">
        <v>3.539558625254458</v>
      </c>
      <c r="L675" t="b">
        <v>1</v>
      </c>
      <c r="M675" t="b">
        <v>1</v>
      </c>
    </row>
    <row r="676" spans="1:13">
      <c r="A676" t="s">
        <v>114</v>
      </c>
      <c r="B676" t="s">
        <v>139</v>
      </c>
      <c r="C676">
        <v>3.75</v>
      </c>
      <c r="D676">
        <v>1.875</v>
      </c>
      <c r="E676">
        <v>0.0001753320695722</v>
      </c>
      <c r="F676">
        <v>0.000282452206896</v>
      </c>
      <c r="G676">
        <v>5.029020848796597E-05</v>
      </c>
      <c r="H676">
        <v>0</v>
      </c>
      <c r="J676" t="b">
        <v>1</v>
      </c>
      <c r="K676">
        <v>3.795583141510761</v>
      </c>
      <c r="L676" t="b">
        <v>1</v>
      </c>
      <c r="M676" t="b">
        <v>1</v>
      </c>
    </row>
    <row r="677" spans="1:13">
      <c r="A677" t="s">
        <v>140</v>
      </c>
      <c r="B677" t="s">
        <v>116</v>
      </c>
      <c r="C677">
        <v>3.75</v>
      </c>
      <c r="D677">
        <v>1.875</v>
      </c>
      <c r="E677">
        <v>0.0002607047591168</v>
      </c>
      <c r="F677">
        <v>0</v>
      </c>
      <c r="G677">
        <v>0.0002710185847313</v>
      </c>
      <c r="H677">
        <v>0.0039002297187735</v>
      </c>
      <c r="I677">
        <v>1.875</v>
      </c>
      <c r="J677" t="b">
        <v>1</v>
      </c>
      <c r="K677">
        <v>7.07870325801423</v>
      </c>
      <c r="L677" t="b">
        <v>1</v>
      </c>
      <c r="M677" t="b">
        <v>1</v>
      </c>
    </row>
    <row r="678" spans="1:13">
      <c r="A678" t="s">
        <v>140</v>
      </c>
      <c r="B678" t="s">
        <v>117</v>
      </c>
      <c r="C678">
        <v>3.75</v>
      </c>
      <c r="D678">
        <v>1.875</v>
      </c>
      <c r="E678">
        <v>0.0003655796684802</v>
      </c>
      <c r="F678">
        <v>0</v>
      </c>
      <c r="G678">
        <v>0.0002710185847313</v>
      </c>
      <c r="H678">
        <v>0.0067931348041057</v>
      </c>
      <c r="I678">
        <v>0</v>
      </c>
      <c r="J678" t="b">
        <v>1</v>
      </c>
      <c r="K678">
        <v>7.016573151655336</v>
      </c>
      <c r="L678" t="b">
        <v>1</v>
      </c>
      <c r="M678" t="b">
        <v>1</v>
      </c>
    </row>
    <row r="679" spans="1:13">
      <c r="A679" t="s">
        <v>140</v>
      </c>
      <c r="B679" t="s">
        <v>118</v>
      </c>
      <c r="C679">
        <v>3.75</v>
      </c>
      <c r="D679">
        <v>1.875</v>
      </c>
      <c r="E679">
        <v>0.000403603996204</v>
      </c>
      <c r="F679">
        <v>0</v>
      </c>
      <c r="G679">
        <v>0.0002710185847313</v>
      </c>
      <c r="H679">
        <v>0.0095087721364066</v>
      </c>
      <c r="I679">
        <v>0</v>
      </c>
      <c r="J679" t="b">
        <v>1</v>
      </c>
      <c r="K679">
        <v>6.976678599980346</v>
      </c>
      <c r="L679" t="b">
        <v>1</v>
      </c>
      <c r="M679" t="b">
        <v>1</v>
      </c>
    </row>
    <row r="680" spans="1:13">
      <c r="A680" t="s">
        <v>140</v>
      </c>
      <c r="B680" t="s">
        <v>119</v>
      </c>
      <c r="C680">
        <v>3.75</v>
      </c>
      <c r="D680">
        <v>1.875</v>
      </c>
      <c r="E680">
        <v>0.0004454872870626</v>
      </c>
      <c r="F680">
        <v>0</v>
      </c>
      <c r="G680">
        <v>0.0002710185847313</v>
      </c>
      <c r="H680">
        <v>0.011721066775312</v>
      </c>
      <c r="I680">
        <v>0</v>
      </c>
      <c r="J680" t="b">
        <v>1</v>
      </c>
      <c r="K680">
        <v>6.958748183846097</v>
      </c>
      <c r="L680" t="b">
        <v>1</v>
      </c>
      <c r="M680" t="b">
        <v>1</v>
      </c>
    </row>
    <row r="681" spans="1:13">
      <c r="A681" t="s">
        <v>140</v>
      </c>
      <c r="B681" t="s">
        <v>120</v>
      </c>
      <c r="C681">
        <v>3.75</v>
      </c>
      <c r="D681">
        <v>1.875</v>
      </c>
      <c r="E681">
        <v>0.0004430759201914</v>
      </c>
      <c r="F681">
        <v>0</v>
      </c>
      <c r="G681">
        <v>0.0002710185847313</v>
      </c>
      <c r="H681">
        <v>0.0049807536511643</v>
      </c>
      <c r="I681">
        <v>1.875</v>
      </c>
      <c r="J681" t="b">
        <v>1</v>
      </c>
      <c r="K681">
        <v>6.261973984746305</v>
      </c>
      <c r="L681" t="b">
        <v>1</v>
      </c>
      <c r="M681" t="b">
        <v>1</v>
      </c>
    </row>
    <row r="682" spans="1:13">
      <c r="A682" t="s">
        <v>140</v>
      </c>
      <c r="B682" t="s">
        <v>121</v>
      </c>
      <c r="C682">
        <v>3.75</v>
      </c>
      <c r="D682">
        <v>1.875</v>
      </c>
      <c r="E682">
        <v>0.001484235423314</v>
      </c>
      <c r="F682">
        <v>0</v>
      </c>
      <c r="G682">
        <v>0.0002710185847313</v>
      </c>
      <c r="H682">
        <v>0.008327611848938999</v>
      </c>
      <c r="I682">
        <v>0</v>
      </c>
      <c r="J682" t="b">
        <v>1</v>
      </c>
      <c r="K682">
        <v>6.202776282569289</v>
      </c>
      <c r="L682" t="b">
        <v>1</v>
      </c>
      <c r="M682" t="b">
        <v>1</v>
      </c>
    </row>
    <row r="683" spans="1:13">
      <c r="A683" t="s">
        <v>140</v>
      </c>
      <c r="B683" t="s">
        <v>122</v>
      </c>
      <c r="C683">
        <v>3.75</v>
      </c>
      <c r="D683">
        <v>1.875</v>
      </c>
      <c r="E683">
        <v>0.0001010333088748</v>
      </c>
      <c r="F683">
        <v>0.0001742666486961</v>
      </c>
      <c r="G683">
        <v>0.0002710185847313</v>
      </c>
      <c r="H683">
        <v>0</v>
      </c>
      <c r="J683" t="b">
        <v>1</v>
      </c>
      <c r="K683">
        <v>5.061957098623537</v>
      </c>
      <c r="L683" t="b">
        <v>1</v>
      </c>
      <c r="M683" t="b">
        <v>1</v>
      </c>
    </row>
    <row r="684" spans="1:13">
      <c r="A684" t="s">
        <v>140</v>
      </c>
      <c r="B684" t="s">
        <v>123</v>
      </c>
      <c r="C684">
        <v>3.75</v>
      </c>
      <c r="D684">
        <v>1.875</v>
      </c>
      <c r="E684">
        <v>0.0001458701215191</v>
      </c>
      <c r="F684">
        <v>0.0002331023872153</v>
      </c>
      <c r="G684">
        <v>0.0002710185847313</v>
      </c>
      <c r="H684">
        <v>0</v>
      </c>
      <c r="J684" t="b">
        <v>1</v>
      </c>
      <c r="K684">
        <v>5.322902325950452</v>
      </c>
      <c r="L684" t="b">
        <v>1</v>
      </c>
      <c r="M684" t="b">
        <v>1</v>
      </c>
    </row>
    <row r="685" spans="1:13">
      <c r="A685" t="s">
        <v>140</v>
      </c>
      <c r="B685" t="s">
        <v>124</v>
      </c>
      <c r="C685">
        <v>3.75</v>
      </c>
      <c r="D685">
        <v>1.875</v>
      </c>
      <c r="E685">
        <v>3.657238760303248E-05</v>
      </c>
      <c r="F685">
        <v>6.923518394781704E-05</v>
      </c>
      <c r="G685">
        <v>0.0002710185847313</v>
      </c>
      <c r="H685">
        <v>0</v>
      </c>
      <c r="J685" t="b">
        <v>1</v>
      </c>
      <c r="K685">
        <v>3.759406244752483</v>
      </c>
      <c r="L685" t="b">
        <v>1</v>
      </c>
      <c r="M685" t="b">
        <v>1</v>
      </c>
    </row>
    <row r="686" spans="1:13">
      <c r="A686" t="s">
        <v>140</v>
      </c>
      <c r="B686" t="s">
        <v>125</v>
      </c>
      <c r="C686">
        <v>3.75</v>
      </c>
      <c r="D686">
        <v>1.875</v>
      </c>
      <c r="E686">
        <v>6.696497003643221E-05</v>
      </c>
      <c r="F686">
        <v>0.0001219121577639</v>
      </c>
      <c r="G686">
        <v>0.0002710185847313</v>
      </c>
      <c r="H686">
        <v>0</v>
      </c>
      <c r="J686" t="b">
        <v>1</v>
      </c>
      <c r="K686">
        <v>4.177563018637898</v>
      </c>
      <c r="L686" t="b">
        <v>1</v>
      </c>
      <c r="M686" t="b">
        <v>1</v>
      </c>
    </row>
    <row r="687" spans="1:13">
      <c r="A687" t="s">
        <v>140</v>
      </c>
      <c r="B687" t="s">
        <v>126</v>
      </c>
      <c r="C687">
        <v>3.75</v>
      </c>
      <c r="D687">
        <v>1.875</v>
      </c>
      <c r="E687">
        <v>0.0001010333088748</v>
      </c>
      <c r="F687">
        <v>0.0001742666486961</v>
      </c>
      <c r="G687">
        <v>0.0002710185847313</v>
      </c>
      <c r="H687">
        <v>0</v>
      </c>
      <c r="J687" t="b">
        <v>1</v>
      </c>
      <c r="K687">
        <v>4.491725473619823</v>
      </c>
      <c r="L687" t="b">
        <v>1</v>
      </c>
      <c r="M687" t="b">
        <v>1</v>
      </c>
    </row>
    <row r="688" spans="1:13">
      <c r="A688" t="s">
        <v>140</v>
      </c>
      <c r="B688" t="s">
        <v>127</v>
      </c>
      <c r="C688">
        <v>3.75</v>
      </c>
      <c r="D688">
        <v>1.875</v>
      </c>
      <c r="E688">
        <v>0.0001458701215191</v>
      </c>
      <c r="F688">
        <v>0.0002331023872153</v>
      </c>
      <c r="G688">
        <v>0.0002710185847313</v>
      </c>
      <c r="H688">
        <v>0</v>
      </c>
      <c r="J688" t="b">
        <v>1</v>
      </c>
      <c r="K688">
        <v>4.752650055247187</v>
      </c>
      <c r="L688" t="b">
        <v>1</v>
      </c>
      <c r="M688" t="b">
        <v>1</v>
      </c>
    </row>
    <row r="689" spans="1:13">
      <c r="A689" t="s">
        <v>140</v>
      </c>
      <c r="B689" t="s">
        <v>128</v>
      </c>
      <c r="C689">
        <v>3.75</v>
      </c>
      <c r="D689">
        <v>1.875</v>
      </c>
      <c r="E689">
        <v>3.657238760303248E-05</v>
      </c>
      <c r="F689">
        <v>6.923518394781704E-05</v>
      </c>
      <c r="G689">
        <v>0.0002710185847313</v>
      </c>
      <c r="H689">
        <v>0</v>
      </c>
      <c r="J689" t="b">
        <v>1</v>
      </c>
      <c r="K689">
        <v>3.354926440823647</v>
      </c>
      <c r="L689" t="b">
        <v>1</v>
      </c>
      <c r="M689" t="b">
        <v>1</v>
      </c>
    </row>
    <row r="690" spans="1:13">
      <c r="A690" t="s">
        <v>140</v>
      </c>
      <c r="B690" t="s">
        <v>129</v>
      </c>
      <c r="C690">
        <v>3.75</v>
      </c>
      <c r="D690">
        <v>1.875</v>
      </c>
      <c r="E690">
        <v>6.696497003643221E-05</v>
      </c>
      <c r="F690">
        <v>0.0001219121577639</v>
      </c>
      <c r="G690">
        <v>0.0002710185847313</v>
      </c>
      <c r="H690">
        <v>0</v>
      </c>
      <c r="J690" t="b">
        <v>1</v>
      </c>
      <c r="K690">
        <v>3.773067212456738</v>
      </c>
      <c r="L690" t="b">
        <v>1</v>
      </c>
      <c r="M690" t="b">
        <v>1</v>
      </c>
    </row>
    <row r="691" spans="1:13">
      <c r="A691" t="s">
        <v>140</v>
      </c>
      <c r="B691" t="s">
        <v>130</v>
      </c>
      <c r="C691">
        <v>3.75</v>
      </c>
      <c r="D691">
        <v>1.875</v>
      </c>
      <c r="E691">
        <v>0.0001010333088748</v>
      </c>
      <c r="F691">
        <v>0.0001742666486961</v>
      </c>
      <c r="G691">
        <v>0.0002710185847313</v>
      </c>
      <c r="H691">
        <v>0</v>
      </c>
      <c r="J691" t="b">
        <v>1</v>
      </c>
      <c r="K691">
        <v>4.08727630394452</v>
      </c>
      <c r="L691" t="b">
        <v>1</v>
      </c>
      <c r="M691" t="b">
        <v>1</v>
      </c>
    </row>
    <row r="692" spans="1:13">
      <c r="A692" t="s">
        <v>140</v>
      </c>
      <c r="B692" t="s">
        <v>131</v>
      </c>
      <c r="C692">
        <v>3.75</v>
      </c>
      <c r="D692">
        <v>1.875</v>
      </c>
      <c r="E692">
        <v>0.0001458701215191</v>
      </c>
      <c r="F692">
        <v>0.0002331023872153</v>
      </c>
      <c r="G692">
        <v>0.0002710185847313</v>
      </c>
      <c r="H692">
        <v>0</v>
      </c>
      <c r="J692" t="b">
        <v>1</v>
      </c>
      <c r="K692">
        <v>4.34813937246048</v>
      </c>
      <c r="L692" t="b">
        <v>1</v>
      </c>
      <c r="M692" t="b">
        <v>1</v>
      </c>
    </row>
    <row r="693" spans="1:13">
      <c r="A693" t="s">
        <v>140</v>
      </c>
      <c r="B693" t="s">
        <v>132</v>
      </c>
      <c r="C693">
        <v>3.75</v>
      </c>
      <c r="D693">
        <v>1.875</v>
      </c>
      <c r="E693">
        <v>3.657238760303248E-05</v>
      </c>
      <c r="F693">
        <v>6.923518394781704E-05</v>
      </c>
      <c r="G693">
        <v>0.0002710185847313</v>
      </c>
      <c r="H693">
        <v>0</v>
      </c>
      <c r="J693" t="b">
        <v>1</v>
      </c>
      <c r="K693">
        <v>3.041134121629341</v>
      </c>
      <c r="L693" t="b">
        <v>1</v>
      </c>
      <c r="M693" t="b">
        <v>1</v>
      </c>
    </row>
    <row r="694" spans="1:13">
      <c r="A694" t="s">
        <v>140</v>
      </c>
      <c r="B694" t="s">
        <v>133</v>
      </c>
      <c r="C694">
        <v>3.75</v>
      </c>
      <c r="D694">
        <v>1.875</v>
      </c>
      <c r="E694">
        <v>6.696497003643221E-05</v>
      </c>
      <c r="F694">
        <v>0.0001219121577639</v>
      </c>
      <c r="G694">
        <v>0.0002710185847313</v>
      </c>
      <c r="H694">
        <v>0</v>
      </c>
      <c r="J694" t="b">
        <v>1</v>
      </c>
      <c r="K694">
        <v>3.459346940878305</v>
      </c>
      <c r="L694" t="b">
        <v>1</v>
      </c>
      <c r="M694" t="b">
        <v>1</v>
      </c>
    </row>
    <row r="695" spans="1:13">
      <c r="A695" t="s">
        <v>140</v>
      </c>
      <c r="B695" t="s">
        <v>134</v>
      </c>
      <c r="C695">
        <v>3.75</v>
      </c>
      <c r="D695">
        <v>1.875</v>
      </c>
      <c r="E695">
        <v>0.0001010333088748</v>
      </c>
      <c r="F695">
        <v>0.0001742666486961</v>
      </c>
      <c r="G695">
        <v>0.0002710185847313</v>
      </c>
      <c r="H695">
        <v>0</v>
      </c>
      <c r="J695" t="b">
        <v>1</v>
      </c>
      <c r="K695">
        <v>3.773530033540595</v>
      </c>
      <c r="L695" t="b">
        <v>1</v>
      </c>
      <c r="M695" t="b">
        <v>1</v>
      </c>
    </row>
    <row r="696" spans="1:13">
      <c r="A696" t="s">
        <v>140</v>
      </c>
      <c r="B696" t="s">
        <v>135</v>
      </c>
      <c r="C696">
        <v>3.75</v>
      </c>
      <c r="D696">
        <v>1.875</v>
      </c>
      <c r="E696">
        <v>0.0001458701215191</v>
      </c>
      <c r="F696">
        <v>0.0002331023872153</v>
      </c>
      <c r="G696">
        <v>0.0002710185847313</v>
      </c>
      <c r="H696">
        <v>0</v>
      </c>
      <c r="J696" t="b">
        <v>1</v>
      </c>
      <c r="K696">
        <v>4.034599365728297</v>
      </c>
      <c r="L696" t="b">
        <v>1</v>
      </c>
      <c r="M696" t="b">
        <v>1</v>
      </c>
    </row>
    <row r="697" spans="1:13">
      <c r="A697" t="s">
        <v>140</v>
      </c>
      <c r="B697" t="s">
        <v>136</v>
      </c>
      <c r="C697">
        <v>3.75</v>
      </c>
      <c r="D697">
        <v>1.875</v>
      </c>
      <c r="E697">
        <v>3.657238760303248E-05</v>
      </c>
      <c r="F697">
        <v>6.923518394781704E-05</v>
      </c>
      <c r="G697">
        <v>0.0002710185847313</v>
      </c>
      <c r="H697">
        <v>0</v>
      </c>
      <c r="J697" t="b">
        <v>1</v>
      </c>
      <c r="K697">
        <v>2.784690378511812</v>
      </c>
      <c r="L697" t="b">
        <v>1</v>
      </c>
      <c r="M697" t="b">
        <v>1</v>
      </c>
    </row>
    <row r="698" spans="1:13">
      <c r="A698" t="s">
        <v>140</v>
      </c>
      <c r="B698" t="s">
        <v>137</v>
      </c>
      <c r="C698">
        <v>3.75</v>
      </c>
      <c r="D698">
        <v>1.875</v>
      </c>
      <c r="E698">
        <v>6.696497003643221E-05</v>
      </c>
      <c r="F698">
        <v>0.0001219121577639</v>
      </c>
      <c r="G698">
        <v>0.0002710185847313</v>
      </c>
      <c r="H698">
        <v>0</v>
      </c>
      <c r="J698" t="b">
        <v>1</v>
      </c>
      <c r="K698">
        <v>3.202900176651013</v>
      </c>
      <c r="L698" t="b">
        <v>1</v>
      </c>
      <c r="M698" t="b">
        <v>1</v>
      </c>
    </row>
    <row r="699" spans="1:13">
      <c r="A699" t="s">
        <v>140</v>
      </c>
      <c r="B699" t="s">
        <v>138</v>
      </c>
      <c r="C699">
        <v>3.75</v>
      </c>
      <c r="D699">
        <v>1.875</v>
      </c>
      <c r="E699">
        <v>0.0001010333088748</v>
      </c>
      <c r="F699">
        <v>0.0001742666486961</v>
      </c>
      <c r="G699">
        <v>0.0002710185847313</v>
      </c>
      <c r="H699">
        <v>0</v>
      </c>
      <c r="J699" t="b">
        <v>1</v>
      </c>
      <c r="K699">
        <v>3.517193045840372</v>
      </c>
      <c r="L699" t="b">
        <v>1</v>
      </c>
      <c r="M699" t="b">
        <v>1</v>
      </c>
    </row>
    <row r="700" spans="1:13">
      <c r="A700" t="s">
        <v>140</v>
      </c>
      <c r="B700" t="s">
        <v>139</v>
      </c>
      <c r="C700">
        <v>3.75</v>
      </c>
      <c r="D700">
        <v>1.875</v>
      </c>
      <c r="E700">
        <v>0.0001458701215191</v>
      </c>
      <c r="F700">
        <v>0.0002331023872153</v>
      </c>
      <c r="G700">
        <v>0.0002710185847313</v>
      </c>
      <c r="H700">
        <v>0</v>
      </c>
      <c r="J700" t="b">
        <v>1</v>
      </c>
      <c r="K700">
        <v>3.778161635660026</v>
      </c>
      <c r="L700" t="b">
        <v>1</v>
      </c>
      <c r="M700" t="b">
        <v>1</v>
      </c>
    </row>
    <row r="701" spans="1:13">
      <c r="A701" t="s">
        <v>142</v>
      </c>
      <c r="B701" t="s">
        <v>116</v>
      </c>
      <c r="C701">
        <v>3.75</v>
      </c>
      <c r="D701">
        <v>1.875</v>
      </c>
      <c r="E701">
        <v>0.0004724385136479</v>
      </c>
      <c r="F701">
        <v>0</v>
      </c>
      <c r="G701">
        <v>0.0004724385136573</v>
      </c>
      <c r="H701">
        <v>0.0047909953882552</v>
      </c>
      <c r="I701">
        <v>0</v>
      </c>
      <c r="J701" t="b">
        <v>1</v>
      </c>
      <c r="K701">
        <v>7.698779190349114</v>
      </c>
      <c r="L701" t="b">
        <v>1</v>
      </c>
      <c r="M701" t="b">
        <v>1</v>
      </c>
    </row>
    <row r="702" spans="1:13">
      <c r="A702" t="s">
        <v>142</v>
      </c>
      <c r="B702" t="s">
        <v>117</v>
      </c>
      <c r="C702">
        <v>3.75</v>
      </c>
      <c r="D702">
        <v>1.875</v>
      </c>
      <c r="E702">
        <v>0.0004724385136479</v>
      </c>
      <c r="F702">
        <v>0</v>
      </c>
      <c r="G702">
        <v>0.0004724385136573</v>
      </c>
      <c r="H702">
        <v>0.0087235187338094</v>
      </c>
      <c r="I702">
        <v>0</v>
      </c>
      <c r="J702" t="b">
        <v>1</v>
      </c>
      <c r="K702">
        <v>7.630393254957824</v>
      </c>
      <c r="L702" t="b">
        <v>1</v>
      </c>
      <c r="M702" t="b">
        <v>1</v>
      </c>
    </row>
    <row r="703" spans="1:13">
      <c r="A703" t="s">
        <v>142</v>
      </c>
      <c r="B703" t="s">
        <v>118</v>
      </c>
      <c r="C703">
        <v>3.75</v>
      </c>
      <c r="D703">
        <v>1.875</v>
      </c>
      <c r="E703">
        <v>0.0004724385136479</v>
      </c>
      <c r="F703">
        <v>0</v>
      </c>
      <c r="G703">
        <v>0.0004724385136573</v>
      </c>
      <c r="H703">
        <v>0.0127268124026116</v>
      </c>
      <c r="I703">
        <v>1.875</v>
      </c>
      <c r="J703" t="b">
        <v>1</v>
      </c>
      <c r="K703">
        <v>7.572198590779067</v>
      </c>
      <c r="L703" t="b">
        <v>1</v>
      </c>
      <c r="M703" t="b">
        <v>1</v>
      </c>
    </row>
    <row r="704" spans="1:13">
      <c r="A704" t="s">
        <v>142</v>
      </c>
      <c r="B704" t="s">
        <v>119</v>
      </c>
      <c r="C704">
        <v>3.75</v>
      </c>
      <c r="D704">
        <v>1.875</v>
      </c>
      <c r="E704">
        <v>0.0004724385136479</v>
      </c>
      <c r="F704">
        <v>0</v>
      </c>
      <c r="G704">
        <v>0.0004724385136573</v>
      </c>
      <c r="H704">
        <v>0.0164003624320514</v>
      </c>
      <c r="I704">
        <v>1.875</v>
      </c>
      <c r="J704" t="b">
        <v>1</v>
      </c>
      <c r="K704">
        <v>7.530466886600351</v>
      </c>
      <c r="L704" t="b">
        <v>1</v>
      </c>
      <c r="M704" t="b">
        <v>1</v>
      </c>
    </row>
    <row r="705" spans="1:13">
      <c r="A705" t="s">
        <v>142</v>
      </c>
      <c r="B705" t="s">
        <v>120</v>
      </c>
      <c r="C705">
        <v>3.75</v>
      </c>
      <c r="D705">
        <v>1.875</v>
      </c>
      <c r="E705">
        <v>0.0009028559237955</v>
      </c>
      <c r="F705">
        <v>0</v>
      </c>
      <c r="G705">
        <v>0.0004724385136573</v>
      </c>
      <c r="H705">
        <v>0.0064316736458032</v>
      </c>
      <c r="I705">
        <v>1.875</v>
      </c>
      <c r="J705" t="b">
        <v>1</v>
      </c>
      <c r="K705">
        <v>6.875396368700137</v>
      </c>
      <c r="L705" t="b">
        <v>1</v>
      </c>
      <c r="M705" t="b">
        <v>1</v>
      </c>
    </row>
    <row r="706" spans="1:13">
      <c r="A706" t="s">
        <v>142</v>
      </c>
      <c r="B706" t="s">
        <v>121</v>
      </c>
      <c r="C706">
        <v>3.75</v>
      </c>
      <c r="D706">
        <v>1.875</v>
      </c>
      <c r="E706">
        <v>0.0014247634094529</v>
      </c>
      <c r="F706">
        <v>0</v>
      </c>
      <c r="G706">
        <v>0.0004724385136573</v>
      </c>
      <c r="H706">
        <v>0.011615860365266</v>
      </c>
      <c r="I706">
        <v>1.875</v>
      </c>
      <c r="J706" t="b">
        <v>1</v>
      </c>
      <c r="K706">
        <v>6.805027754570858</v>
      </c>
      <c r="L706" t="b">
        <v>1</v>
      </c>
      <c r="M706" t="b">
        <v>1</v>
      </c>
    </row>
    <row r="707" spans="1:13">
      <c r="A707" t="s">
        <v>142</v>
      </c>
      <c r="B707" t="s">
        <v>122</v>
      </c>
      <c r="C707">
        <v>3.75</v>
      </c>
      <c r="D707">
        <v>1.875</v>
      </c>
      <c r="E707">
        <v>0.0051455670224315</v>
      </c>
      <c r="F707">
        <v>0</v>
      </c>
      <c r="G707">
        <v>0.0004724385136573</v>
      </c>
      <c r="H707">
        <v>0.0166634251837614</v>
      </c>
      <c r="I707">
        <v>0</v>
      </c>
      <c r="J707" t="b">
        <v>1</v>
      </c>
      <c r="K707">
        <v>6.752266720475575</v>
      </c>
      <c r="L707" t="b">
        <v>1</v>
      </c>
      <c r="M707" t="b">
        <v>1</v>
      </c>
    </row>
    <row r="708" spans="1:13">
      <c r="A708" t="s">
        <v>142</v>
      </c>
      <c r="B708" t="s">
        <v>123</v>
      </c>
      <c r="C708">
        <v>3.75</v>
      </c>
      <c r="D708">
        <v>1.875</v>
      </c>
      <c r="E708">
        <v>0.0002078757356044</v>
      </c>
      <c r="F708">
        <v>0.000341711335853</v>
      </c>
      <c r="G708">
        <v>0.0004724385136573</v>
      </c>
      <c r="H708">
        <v>0</v>
      </c>
      <c r="J708" t="b">
        <v>1</v>
      </c>
      <c r="K708">
        <v>5.303151395759897</v>
      </c>
      <c r="L708" t="b">
        <v>1</v>
      </c>
      <c r="M708" t="b">
        <v>1</v>
      </c>
    </row>
    <row r="709" spans="1:13">
      <c r="A709" t="s">
        <v>142</v>
      </c>
      <c r="B709" t="s">
        <v>124</v>
      </c>
      <c r="C709">
        <v>3.75</v>
      </c>
      <c r="D709">
        <v>1.875</v>
      </c>
      <c r="E709">
        <v>4.731497814187894E-05</v>
      </c>
      <c r="F709">
        <v>8.966398106048571E-05</v>
      </c>
      <c r="G709">
        <v>0.0004724385136573</v>
      </c>
      <c r="H709">
        <v>0</v>
      </c>
      <c r="J709" t="b">
        <v>1</v>
      </c>
      <c r="K709">
        <v>3.774477135527832</v>
      </c>
      <c r="L709" t="b">
        <v>1</v>
      </c>
      <c r="M709" t="b">
        <v>1</v>
      </c>
    </row>
    <row r="710" spans="1:13">
      <c r="A710" t="s">
        <v>142</v>
      </c>
      <c r="B710" t="s">
        <v>125</v>
      </c>
      <c r="C710">
        <v>3.75</v>
      </c>
      <c r="D710">
        <v>1.875</v>
      </c>
      <c r="E710">
        <v>9.205248791562104E-05</v>
      </c>
      <c r="F710">
        <v>0.0001682904080431</v>
      </c>
      <c r="G710">
        <v>0.0004724385136573</v>
      </c>
      <c r="H710">
        <v>0</v>
      </c>
      <c r="J710" t="b">
        <v>1</v>
      </c>
      <c r="K710">
        <v>4.182817552687368</v>
      </c>
      <c r="L710" t="b">
        <v>1</v>
      </c>
      <c r="M710" t="b">
        <v>1</v>
      </c>
    </row>
    <row r="711" spans="1:13">
      <c r="A711" t="s">
        <v>142</v>
      </c>
      <c r="B711" t="s">
        <v>126</v>
      </c>
      <c r="C711">
        <v>3.75</v>
      </c>
      <c r="D711">
        <v>1.875</v>
      </c>
      <c r="E711">
        <v>0.0001463286803922</v>
      </c>
      <c r="F711">
        <v>0.0002554830093838</v>
      </c>
      <c r="G711">
        <v>0.0004724385136573</v>
      </c>
      <c r="H711">
        <v>0</v>
      </c>
      <c r="J711" t="b">
        <v>1</v>
      </c>
      <c r="K711">
        <v>4.485734775007444</v>
      </c>
      <c r="L711" t="b">
        <v>1</v>
      </c>
      <c r="M711" t="b">
        <v>1</v>
      </c>
    </row>
    <row r="712" spans="1:13">
      <c r="A712" t="s">
        <v>142</v>
      </c>
      <c r="B712" t="s">
        <v>127</v>
      </c>
      <c r="C712">
        <v>3.75</v>
      </c>
      <c r="D712">
        <v>1.875</v>
      </c>
      <c r="E712">
        <v>0.0002078757356044</v>
      </c>
      <c r="F712">
        <v>0.000341711335853</v>
      </c>
      <c r="G712">
        <v>0.0004724385136573</v>
      </c>
      <c r="H712">
        <v>0</v>
      </c>
      <c r="J712" t="b">
        <v>1</v>
      </c>
      <c r="K712">
        <v>4.733109381406564</v>
      </c>
      <c r="L712" t="b">
        <v>1</v>
      </c>
      <c r="M712" t="b">
        <v>1</v>
      </c>
    </row>
    <row r="713" spans="1:13">
      <c r="A713" t="s">
        <v>142</v>
      </c>
      <c r="B713" t="s">
        <v>128</v>
      </c>
      <c r="C713">
        <v>3.75</v>
      </c>
      <c r="D713">
        <v>1.875</v>
      </c>
      <c r="E713">
        <v>4.731497814187894E-05</v>
      </c>
      <c r="F713">
        <v>8.966398106048571E-05</v>
      </c>
      <c r="G713">
        <v>0.0004724385136573</v>
      </c>
      <c r="H713">
        <v>0</v>
      </c>
      <c r="J713" t="b">
        <v>1</v>
      </c>
      <c r="K713">
        <v>3.369921451215419</v>
      </c>
      <c r="L713" t="b">
        <v>1</v>
      </c>
      <c r="M713" t="b">
        <v>1</v>
      </c>
    </row>
    <row r="714" spans="1:13">
      <c r="A714" t="s">
        <v>142</v>
      </c>
      <c r="B714" t="s">
        <v>129</v>
      </c>
      <c r="C714">
        <v>3.75</v>
      </c>
      <c r="D714">
        <v>1.875</v>
      </c>
      <c r="E714">
        <v>9.205248791562104E-05</v>
      </c>
      <c r="F714">
        <v>0.0001682904080431</v>
      </c>
      <c r="G714">
        <v>0.0004724385136573</v>
      </c>
      <c r="H714">
        <v>0</v>
      </c>
      <c r="J714" t="b">
        <v>1</v>
      </c>
      <c r="K714">
        <v>3.778289419143022</v>
      </c>
      <c r="L714" t="b">
        <v>1</v>
      </c>
      <c r="M714" t="b">
        <v>1</v>
      </c>
    </row>
    <row r="715" spans="1:13">
      <c r="A715" t="s">
        <v>142</v>
      </c>
      <c r="B715" t="s">
        <v>130</v>
      </c>
      <c r="C715">
        <v>3.75</v>
      </c>
      <c r="D715">
        <v>1.875</v>
      </c>
      <c r="E715">
        <v>0.0001463286803922</v>
      </c>
      <c r="F715">
        <v>0.0002554830093838</v>
      </c>
      <c r="G715">
        <v>0.0004724385136573</v>
      </c>
      <c r="H715">
        <v>0</v>
      </c>
      <c r="J715" t="b">
        <v>1</v>
      </c>
      <c r="K715">
        <v>4.08126249770433</v>
      </c>
      <c r="L715" t="b">
        <v>1</v>
      </c>
      <c r="M715" t="b">
        <v>1</v>
      </c>
    </row>
    <row r="716" spans="1:13">
      <c r="A716" t="s">
        <v>142</v>
      </c>
      <c r="B716" t="s">
        <v>131</v>
      </c>
      <c r="C716">
        <v>3.75</v>
      </c>
      <c r="D716">
        <v>1.875</v>
      </c>
      <c r="E716">
        <v>0.0002078757356044</v>
      </c>
      <c r="F716">
        <v>0.000341711335853</v>
      </c>
      <c r="G716">
        <v>0.0004724385136573</v>
      </c>
      <c r="H716">
        <v>0</v>
      </c>
      <c r="J716" t="b">
        <v>1</v>
      </c>
      <c r="K716">
        <v>4.328648566499282</v>
      </c>
      <c r="L716" t="b">
        <v>1</v>
      </c>
      <c r="M716" t="b">
        <v>1</v>
      </c>
    </row>
    <row r="717" spans="1:13">
      <c r="A717" t="s">
        <v>142</v>
      </c>
      <c r="B717" t="s">
        <v>132</v>
      </c>
      <c r="C717">
        <v>3.75</v>
      </c>
      <c r="D717">
        <v>1.875</v>
      </c>
      <c r="E717">
        <v>4.731497814187894E-05</v>
      </c>
      <c r="F717">
        <v>8.966398106048571E-05</v>
      </c>
      <c r="G717">
        <v>0.0004724385136573</v>
      </c>
      <c r="H717">
        <v>0</v>
      </c>
      <c r="J717" t="b">
        <v>1</v>
      </c>
      <c r="K717">
        <v>3.05612840663656</v>
      </c>
      <c r="L717" t="b">
        <v>1</v>
      </c>
      <c r="M717" t="b">
        <v>1</v>
      </c>
    </row>
    <row r="718" spans="1:13">
      <c r="A718" t="s">
        <v>142</v>
      </c>
      <c r="B718" t="s">
        <v>133</v>
      </c>
      <c r="C718">
        <v>3.75</v>
      </c>
      <c r="D718">
        <v>1.875</v>
      </c>
      <c r="E718">
        <v>9.205248791562104E-05</v>
      </c>
      <c r="F718">
        <v>0.0001682904080431</v>
      </c>
      <c r="G718">
        <v>0.0004724385136573</v>
      </c>
      <c r="H718">
        <v>0</v>
      </c>
      <c r="J718" t="b">
        <v>1</v>
      </c>
      <c r="K718">
        <v>3.464561690559975</v>
      </c>
      <c r="L718" t="b">
        <v>1</v>
      </c>
      <c r="M718" t="b">
        <v>1</v>
      </c>
    </row>
    <row r="719" spans="1:13">
      <c r="A719" t="s">
        <v>142</v>
      </c>
      <c r="B719" t="s">
        <v>134</v>
      </c>
      <c r="C719">
        <v>3.75</v>
      </c>
      <c r="D719">
        <v>1.875</v>
      </c>
      <c r="E719">
        <v>0.0001463286803922</v>
      </c>
      <c r="F719">
        <v>0.0002554830093838</v>
      </c>
      <c r="G719">
        <v>0.0004724385136573</v>
      </c>
      <c r="H719">
        <v>0</v>
      </c>
      <c r="J719" t="b">
        <v>1</v>
      </c>
      <c r="K719">
        <v>3.767484425929269</v>
      </c>
      <c r="L719" t="b">
        <v>1</v>
      </c>
      <c r="M719" t="b">
        <v>1</v>
      </c>
    </row>
    <row r="720" spans="1:13">
      <c r="A720" t="s">
        <v>142</v>
      </c>
      <c r="B720" t="s">
        <v>135</v>
      </c>
      <c r="C720">
        <v>3.75</v>
      </c>
      <c r="D720">
        <v>1.875</v>
      </c>
      <c r="E720">
        <v>0.0002078757356044</v>
      </c>
      <c r="F720">
        <v>0.000341711335853</v>
      </c>
      <c r="G720">
        <v>0.0004724385136573</v>
      </c>
      <c r="H720">
        <v>0</v>
      </c>
      <c r="J720" t="b">
        <v>1</v>
      </c>
      <c r="K720">
        <v>4.014840164016675</v>
      </c>
      <c r="L720" t="b">
        <v>1</v>
      </c>
      <c r="M720" t="b">
        <v>1</v>
      </c>
    </row>
    <row r="721" spans="1:13">
      <c r="A721" t="s">
        <v>142</v>
      </c>
      <c r="B721" t="s">
        <v>136</v>
      </c>
      <c r="C721">
        <v>3.75</v>
      </c>
      <c r="D721">
        <v>1.875</v>
      </c>
      <c r="E721">
        <v>4.731497814187894E-05</v>
      </c>
      <c r="F721">
        <v>8.966398106048571E-05</v>
      </c>
      <c r="G721">
        <v>0.0004724385136573</v>
      </c>
      <c r="H721">
        <v>0</v>
      </c>
      <c r="J721" t="b">
        <v>1</v>
      </c>
      <c r="K721">
        <v>2.799802371436044</v>
      </c>
      <c r="L721" t="b">
        <v>1</v>
      </c>
      <c r="M721" t="b">
        <v>1</v>
      </c>
    </row>
    <row r="722" spans="1:13">
      <c r="A722" t="s">
        <v>142</v>
      </c>
      <c r="B722" t="s">
        <v>137</v>
      </c>
      <c r="C722">
        <v>3.75</v>
      </c>
      <c r="D722">
        <v>1.875</v>
      </c>
      <c r="E722">
        <v>9.205248791562104E-05</v>
      </c>
      <c r="F722">
        <v>0.0001682904080431</v>
      </c>
      <c r="G722">
        <v>0.0004724385136573</v>
      </c>
      <c r="H722">
        <v>0</v>
      </c>
      <c r="J722" t="b">
        <v>1</v>
      </c>
      <c r="K722">
        <v>3.208126787244936</v>
      </c>
      <c r="L722" t="b">
        <v>1</v>
      </c>
      <c r="M722" t="b">
        <v>1</v>
      </c>
    </row>
    <row r="723" spans="1:13">
      <c r="A723" t="s">
        <v>142</v>
      </c>
      <c r="B723" t="s">
        <v>138</v>
      </c>
      <c r="C723">
        <v>3.75</v>
      </c>
      <c r="D723">
        <v>1.875</v>
      </c>
      <c r="E723">
        <v>0.0001463286803922</v>
      </c>
      <c r="F723">
        <v>0.0002554830093838</v>
      </c>
      <c r="G723">
        <v>0.0004724385136573</v>
      </c>
      <c r="H723">
        <v>0</v>
      </c>
      <c r="J723" t="b">
        <v>1</v>
      </c>
      <c r="K723">
        <v>3.511117483815696</v>
      </c>
      <c r="L723" t="b">
        <v>1</v>
      </c>
      <c r="M723" t="b">
        <v>1</v>
      </c>
    </row>
    <row r="724" spans="1:13">
      <c r="A724" t="s">
        <v>142</v>
      </c>
      <c r="B724" t="s">
        <v>139</v>
      </c>
      <c r="C724">
        <v>3.75</v>
      </c>
      <c r="D724">
        <v>1.875</v>
      </c>
      <c r="E724">
        <v>0.0002078757356044</v>
      </c>
      <c r="F724">
        <v>0.000341711335853</v>
      </c>
      <c r="G724">
        <v>0.0004724385136573</v>
      </c>
      <c r="H724">
        <v>0</v>
      </c>
      <c r="J724" t="b">
        <v>1</v>
      </c>
      <c r="K724">
        <v>3.758454460517058</v>
      </c>
      <c r="L724" t="b">
        <v>1</v>
      </c>
      <c r="M724" t="b">
        <v>1</v>
      </c>
    </row>
    <row r="725" spans="1:13">
      <c r="A725" t="s">
        <v>144</v>
      </c>
      <c r="B725" t="s">
        <v>116</v>
      </c>
      <c r="C725">
        <v>3.75</v>
      </c>
      <c r="D725">
        <v>1.875</v>
      </c>
      <c r="E725">
        <v>1.751590733435163E-05</v>
      </c>
      <c r="F725">
        <v>0</v>
      </c>
      <c r="G725">
        <v>1.751590731781305E-05</v>
      </c>
      <c r="H725">
        <v>0.0052044290874277</v>
      </c>
      <c r="I725">
        <v>0</v>
      </c>
      <c r="J725" t="b">
        <v>1</v>
      </c>
      <c r="K725">
        <v>7.837471292759801</v>
      </c>
      <c r="L725" t="b">
        <v>1</v>
      </c>
      <c r="M725" t="b">
        <v>1</v>
      </c>
    </row>
    <row r="726" spans="1:13">
      <c r="A726" t="s">
        <v>144</v>
      </c>
      <c r="B726" t="s">
        <v>117</v>
      </c>
      <c r="C726">
        <v>3.75</v>
      </c>
      <c r="D726">
        <v>1.875</v>
      </c>
      <c r="E726">
        <v>1.751590733435163E-05</v>
      </c>
      <c r="F726">
        <v>0</v>
      </c>
      <c r="G726">
        <v>1.751590731781305E-05</v>
      </c>
      <c r="H726">
        <v>0.0097123684958262</v>
      </c>
      <c r="I726">
        <v>1.875</v>
      </c>
      <c r="J726" t="b">
        <v>1</v>
      </c>
      <c r="K726">
        <v>7.789470795934506</v>
      </c>
      <c r="L726" t="b">
        <v>1</v>
      </c>
      <c r="M726" t="b">
        <v>1</v>
      </c>
    </row>
    <row r="727" spans="1:13">
      <c r="A727" t="s">
        <v>144</v>
      </c>
      <c r="B727" t="s">
        <v>118</v>
      </c>
      <c r="C727">
        <v>3.75</v>
      </c>
      <c r="D727">
        <v>1.875</v>
      </c>
      <c r="E727">
        <v>1.751590733435163E-05</v>
      </c>
      <c r="F727">
        <v>0</v>
      </c>
      <c r="G727">
        <v>1.751590731781305E-05</v>
      </c>
      <c r="H727">
        <v>0.0145150817501757</v>
      </c>
      <c r="I727">
        <v>1.875</v>
      </c>
      <c r="J727" t="b">
        <v>1</v>
      </c>
      <c r="K727">
        <v>7.73937496991266</v>
      </c>
      <c r="L727" t="b">
        <v>1</v>
      </c>
      <c r="M727" t="b">
        <v>1</v>
      </c>
    </row>
    <row r="728" spans="1:13">
      <c r="A728" t="s">
        <v>144</v>
      </c>
      <c r="B728" t="s">
        <v>119</v>
      </c>
      <c r="C728">
        <v>3.75</v>
      </c>
      <c r="D728">
        <v>1.875</v>
      </c>
      <c r="E728">
        <v>1.751590733435163E-05</v>
      </c>
      <c r="F728">
        <v>0</v>
      </c>
      <c r="G728">
        <v>1.751590731781305E-05</v>
      </c>
      <c r="H728">
        <v>0.0191845816174662</v>
      </c>
      <c r="I728">
        <v>1.875</v>
      </c>
      <c r="J728" t="b">
        <v>1</v>
      </c>
      <c r="K728">
        <v>7.7032665712224</v>
      </c>
      <c r="L728" t="b">
        <v>1</v>
      </c>
      <c r="M728" t="b">
        <v>1</v>
      </c>
    </row>
    <row r="729" spans="1:13">
      <c r="A729" t="s">
        <v>144</v>
      </c>
      <c r="B729" t="s">
        <v>120</v>
      </c>
      <c r="C729">
        <v>3.75</v>
      </c>
      <c r="D729">
        <v>1.875</v>
      </c>
      <c r="E729">
        <v>1.751590730127467E-05</v>
      </c>
      <c r="F729">
        <v>0</v>
      </c>
      <c r="G729">
        <v>1.751590731781305E-05</v>
      </c>
      <c r="H729">
        <v>0.0069985462547492</v>
      </c>
      <c r="I729">
        <v>1.875</v>
      </c>
      <c r="J729" t="b">
        <v>1</v>
      </c>
      <c r="K729">
        <v>7.029111361690354</v>
      </c>
      <c r="L729" t="b">
        <v>1</v>
      </c>
      <c r="M729" t="b">
        <v>1</v>
      </c>
    </row>
    <row r="730" spans="1:13">
      <c r="A730" t="s">
        <v>144</v>
      </c>
      <c r="B730" t="s">
        <v>121</v>
      </c>
      <c r="C730">
        <v>3.75</v>
      </c>
      <c r="D730">
        <v>1.875</v>
      </c>
      <c r="E730">
        <v>1.751590730127467E-05</v>
      </c>
      <c r="F730">
        <v>0</v>
      </c>
      <c r="G730">
        <v>1.751590731781305E-05</v>
      </c>
      <c r="H730">
        <v>0.0129920107597314</v>
      </c>
      <c r="I730">
        <v>0</v>
      </c>
      <c r="J730" t="b">
        <v>1</v>
      </c>
      <c r="K730">
        <v>6.972049700361538</v>
      </c>
      <c r="L730" t="b">
        <v>1</v>
      </c>
      <c r="M730" t="b">
        <v>1</v>
      </c>
    </row>
    <row r="731" spans="1:13">
      <c r="A731" t="s">
        <v>144</v>
      </c>
      <c r="B731" t="s">
        <v>122</v>
      </c>
      <c r="C731">
        <v>3.75</v>
      </c>
      <c r="D731">
        <v>1.875</v>
      </c>
      <c r="E731">
        <v>1.751590730127467E-05</v>
      </c>
      <c r="F731">
        <v>0</v>
      </c>
      <c r="G731">
        <v>1.751590731781305E-05</v>
      </c>
      <c r="H731">
        <v>0.0193376811131571</v>
      </c>
      <c r="I731">
        <v>1.875</v>
      </c>
      <c r="J731" t="b">
        <v>1</v>
      </c>
      <c r="K731">
        <v>6.925899630867605</v>
      </c>
      <c r="L731" t="b">
        <v>1</v>
      </c>
      <c r="M731" t="b">
        <v>1</v>
      </c>
    </row>
    <row r="732" spans="1:13">
      <c r="A732" t="s">
        <v>144</v>
      </c>
      <c r="B732" t="s">
        <v>123</v>
      </c>
      <c r="C732">
        <v>3.75</v>
      </c>
      <c r="D732">
        <v>1.875</v>
      </c>
      <c r="E732">
        <v>1.751590730127467E-05</v>
      </c>
      <c r="F732">
        <v>0</v>
      </c>
      <c r="G732">
        <v>1.751590731781305E-05</v>
      </c>
      <c r="H732">
        <v>0.0253137556394307</v>
      </c>
      <c r="I732">
        <v>1.875</v>
      </c>
      <c r="J732" t="b">
        <v>1</v>
      </c>
      <c r="K732">
        <v>6.890326661190471</v>
      </c>
      <c r="L732" t="b">
        <v>1</v>
      </c>
      <c r="M732" t="b">
        <v>1</v>
      </c>
    </row>
    <row r="733" spans="1:13">
      <c r="A733" t="s">
        <v>144</v>
      </c>
      <c r="B733" t="s">
        <v>124</v>
      </c>
      <c r="C733">
        <v>3.75</v>
      </c>
      <c r="D733">
        <v>1.875</v>
      </c>
      <c r="E733">
        <v>1.751590726831785E-05</v>
      </c>
      <c r="F733">
        <v>0</v>
      </c>
      <c r="G733">
        <v>1.751590731781305E-05</v>
      </c>
      <c r="H733">
        <v>0.0081996989016346</v>
      </c>
      <c r="I733">
        <v>0</v>
      </c>
      <c r="J733" t="b">
        <v>1</v>
      </c>
      <c r="K733">
        <v>6.545611462372847</v>
      </c>
      <c r="L733" t="b">
        <v>1</v>
      </c>
      <c r="M733" t="b">
        <v>1</v>
      </c>
    </row>
    <row r="734" spans="1:13">
      <c r="A734" t="s">
        <v>144</v>
      </c>
      <c r="B734" t="s">
        <v>125</v>
      </c>
      <c r="C734">
        <v>3.75</v>
      </c>
      <c r="D734">
        <v>1.875</v>
      </c>
      <c r="E734">
        <v>1.751590726831785E-05</v>
      </c>
      <c r="F734">
        <v>0</v>
      </c>
      <c r="G734">
        <v>1.751590731781305E-05</v>
      </c>
      <c r="H734">
        <v>0.0150996822032709</v>
      </c>
      <c r="I734">
        <v>1.875</v>
      </c>
      <c r="J734" t="b">
        <v>1</v>
      </c>
      <c r="K734">
        <v>6.489728230302205</v>
      </c>
      <c r="L734" t="b">
        <v>1</v>
      </c>
      <c r="M734" t="b">
        <v>1</v>
      </c>
    </row>
    <row r="735" spans="1:13">
      <c r="A735" t="s">
        <v>144</v>
      </c>
      <c r="B735" t="s">
        <v>126</v>
      </c>
      <c r="C735">
        <v>3.75</v>
      </c>
      <c r="D735">
        <v>1.875</v>
      </c>
      <c r="E735">
        <v>1.751590726831785E-05</v>
      </c>
      <c r="F735">
        <v>0</v>
      </c>
      <c r="G735">
        <v>1.751590731781305E-05</v>
      </c>
      <c r="H735">
        <v>0.0221573118924354</v>
      </c>
      <c r="I735">
        <v>1.875</v>
      </c>
      <c r="J735" t="b">
        <v>1</v>
      </c>
      <c r="K735">
        <v>6.440693989193136</v>
      </c>
      <c r="L735" t="b">
        <v>1</v>
      </c>
      <c r="M735" t="b">
        <v>1</v>
      </c>
    </row>
    <row r="736" spans="1:13">
      <c r="A736" t="s">
        <v>144</v>
      </c>
      <c r="B736" t="s">
        <v>127</v>
      </c>
      <c r="C736">
        <v>3.75</v>
      </c>
      <c r="D736">
        <v>1.875</v>
      </c>
      <c r="E736">
        <v>1.751590726843857E-05</v>
      </c>
      <c r="F736">
        <v>0</v>
      </c>
      <c r="G736">
        <v>1.751590731781305E-05</v>
      </c>
      <c r="H736">
        <v>0.0283525852645567</v>
      </c>
      <c r="I736">
        <v>1.875</v>
      </c>
      <c r="J736" t="b">
        <v>1</v>
      </c>
      <c r="K736">
        <v>6.401249407857534</v>
      </c>
      <c r="L736" t="b">
        <v>1</v>
      </c>
      <c r="M736" t="b">
        <v>1</v>
      </c>
    </row>
    <row r="737" spans="1:13">
      <c r="A737" t="s">
        <v>144</v>
      </c>
      <c r="B737" t="s">
        <v>128</v>
      </c>
      <c r="C737">
        <v>3.75</v>
      </c>
      <c r="D737">
        <v>1.875</v>
      </c>
      <c r="E737">
        <v>1.751590726831785E-05</v>
      </c>
      <c r="F737">
        <v>0</v>
      </c>
      <c r="G737">
        <v>1.751590731781305E-05</v>
      </c>
      <c r="H737">
        <v>0.0091505096353685</v>
      </c>
      <c r="I737">
        <v>0</v>
      </c>
      <c r="J737" t="b">
        <v>1</v>
      </c>
      <c r="K737">
        <v>6.203456551351394</v>
      </c>
      <c r="L737" t="b">
        <v>1</v>
      </c>
      <c r="M737" t="b">
        <v>1</v>
      </c>
    </row>
    <row r="738" spans="1:13">
      <c r="A738" t="s">
        <v>144</v>
      </c>
      <c r="B738" t="s">
        <v>129</v>
      </c>
      <c r="C738">
        <v>3.75</v>
      </c>
      <c r="D738">
        <v>1.875</v>
      </c>
      <c r="E738">
        <v>1.751590726831785E-05</v>
      </c>
      <c r="F738">
        <v>0</v>
      </c>
      <c r="G738">
        <v>1.751590731781305E-05</v>
      </c>
      <c r="H738">
        <v>0.0166728823902531</v>
      </c>
      <c r="I738">
        <v>0</v>
      </c>
      <c r="J738" t="b">
        <v>1</v>
      </c>
      <c r="K738">
        <v>6.142238939833788</v>
      </c>
      <c r="L738" t="b">
        <v>1</v>
      </c>
      <c r="M738" t="b">
        <v>1</v>
      </c>
    </row>
    <row r="739" spans="1:13">
      <c r="A739" t="s">
        <v>144</v>
      </c>
      <c r="B739" t="s">
        <v>130</v>
      </c>
      <c r="C739">
        <v>3.75</v>
      </c>
      <c r="D739">
        <v>1.875</v>
      </c>
      <c r="E739">
        <v>1.751590726843857E-05</v>
      </c>
      <c r="F739">
        <v>0</v>
      </c>
      <c r="G739">
        <v>1.751590731781305E-05</v>
      </c>
      <c r="H739">
        <v>0.0241602658311848</v>
      </c>
      <c r="I739">
        <v>1.875</v>
      </c>
      <c r="J739" t="b">
        <v>1</v>
      </c>
      <c r="K739">
        <v>6.093568957082596</v>
      </c>
      <c r="L739" t="b">
        <v>1</v>
      </c>
      <c r="M739" t="b">
        <v>1</v>
      </c>
    </row>
    <row r="740" spans="1:13">
      <c r="A740" t="s">
        <v>144</v>
      </c>
      <c r="B740" t="s">
        <v>131</v>
      </c>
      <c r="C740">
        <v>3.75</v>
      </c>
      <c r="D740">
        <v>1.875</v>
      </c>
      <c r="E740">
        <v>0.0016124092203414</v>
      </c>
      <c r="F740">
        <v>0</v>
      </c>
      <c r="G740">
        <v>1.751590731781305E-05</v>
      </c>
      <c r="H740">
        <v>0.0301804152865656</v>
      </c>
      <c r="I740">
        <v>0</v>
      </c>
      <c r="J740" t="b">
        <v>1</v>
      </c>
      <c r="K740">
        <v>6.052775633029484</v>
      </c>
      <c r="L740" t="b">
        <v>1</v>
      </c>
      <c r="M740" t="b">
        <v>1</v>
      </c>
    </row>
    <row r="741" spans="1:13">
      <c r="A741" t="s">
        <v>144</v>
      </c>
      <c r="B741" t="s">
        <v>132</v>
      </c>
      <c r="C741">
        <v>3.75</v>
      </c>
      <c r="D741">
        <v>1.875</v>
      </c>
      <c r="E741">
        <v>0.0013154148134106</v>
      </c>
      <c r="F741">
        <v>0</v>
      </c>
      <c r="G741">
        <v>1.751590731781305E-05</v>
      </c>
      <c r="H741">
        <v>0.0099281549677812</v>
      </c>
      <c r="I741">
        <v>0</v>
      </c>
      <c r="J741" t="b">
        <v>1</v>
      </c>
      <c r="K741">
        <v>5.933148032589486</v>
      </c>
      <c r="L741" t="b">
        <v>1</v>
      </c>
      <c r="M741" t="b">
        <v>1</v>
      </c>
    </row>
    <row r="742" spans="1:13">
      <c r="A742" t="s">
        <v>144</v>
      </c>
      <c r="B742" t="s">
        <v>133</v>
      </c>
      <c r="C742">
        <v>3.75</v>
      </c>
      <c r="D742">
        <v>1.875</v>
      </c>
      <c r="E742">
        <v>0.0039388228686897</v>
      </c>
      <c r="F742">
        <v>0</v>
      </c>
      <c r="G742">
        <v>1.751590731781305E-05</v>
      </c>
      <c r="H742">
        <v>0.0179226089662396</v>
      </c>
      <c r="I742">
        <v>0</v>
      </c>
      <c r="J742" t="b">
        <v>1</v>
      </c>
      <c r="K742">
        <v>5.873577522196172</v>
      </c>
      <c r="L742" t="b">
        <v>1</v>
      </c>
      <c r="M742" t="b">
        <v>1</v>
      </c>
    </row>
    <row r="743" spans="1:13">
      <c r="A743" t="s">
        <v>144</v>
      </c>
      <c r="B743" t="s">
        <v>134</v>
      </c>
      <c r="C743">
        <v>3.75</v>
      </c>
      <c r="D743">
        <v>1.875</v>
      </c>
      <c r="E743">
        <v>9.031593247575272E-05</v>
      </c>
      <c r="F743">
        <v>0.0001706122118854</v>
      </c>
      <c r="G743">
        <v>1.751590731781305E-05</v>
      </c>
      <c r="H743">
        <v>0</v>
      </c>
      <c r="J743" t="b">
        <v>1</v>
      </c>
      <c r="K743">
        <v>4.145788493495672</v>
      </c>
      <c r="L743" t="b">
        <v>1</v>
      </c>
      <c r="M743" t="b">
        <v>1</v>
      </c>
    </row>
    <row r="744" spans="1:13">
      <c r="A744" t="s">
        <v>144</v>
      </c>
      <c r="B744" t="s">
        <v>135</v>
      </c>
      <c r="C744">
        <v>3.75</v>
      </c>
      <c r="D744">
        <v>1.875</v>
      </c>
      <c r="E744">
        <v>0.0001246995162576</v>
      </c>
      <c r="F744">
        <v>0.0002298533914064</v>
      </c>
      <c r="G744">
        <v>1.751590731781305E-05</v>
      </c>
      <c r="H744">
        <v>0</v>
      </c>
      <c r="J744" t="b">
        <v>1</v>
      </c>
      <c r="K744">
        <v>4.397356003816455</v>
      </c>
      <c r="L744" t="b">
        <v>1</v>
      </c>
      <c r="M744" t="b">
        <v>1</v>
      </c>
    </row>
    <row r="745" spans="1:13">
      <c r="A745" t="s">
        <v>144</v>
      </c>
      <c r="B745" t="s">
        <v>136</v>
      </c>
      <c r="C745">
        <v>3.75</v>
      </c>
      <c r="D745">
        <v>1.875</v>
      </c>
      <c r="E745">
        <v>3.037557343436962E-05</v>
      </c>
      <c r="F745">
        <v>5.934662367621673E-05</v>
      </c>
      <c r="G745">
        <v>1.751590731781305E-05</v>
      </c>
      <c r="H745">
        <v>0</v>
      </c>
      <c r="J745" t="b">
        <v>1</v>
      </c>
      <c r="K745">
        <v>3.170337762989561</v>
      </c>
      <c r="L745" t="b">
        <v>1</v>
      </c>
      <c r="M745" t="b">
        <v>1</v>
      </c>
    </row>
    <row r="746" spans="1:13">
      <c r="A746" t="s">
        <v>144</v>
      </c>
      <c r="B746" t="s">
        <v>137</v>
      </c>
      <c r="C746">
        <v>3.75</v>
      </c>
      <c r="D746">
        <v>1.875</v>
      </c>
      <c r="E746">
        <v>5.805138731985856E-05</v>
      </c>
      <c r="F746">
        <v>0.0001117412734384</v>
      </c>
      <c r="G746">
        <v>1.751590731781305E-05</v>
      </c>
      <c r="H746">
        <v>0</v>
      </c>
      <c r="J746" t="b">
        <v>1</v>
      </c>
      <c r="K746">
        <v>3.582191202450957</v>
      </c>
      <c r="L746" t="b">
        <v>1</v>
      </c>
      <c r="M746" t="b">
        <v>1</v>
      </c>
    </row>
    <row r="747" spans="1:13">
      <c r="A747" t="s">
        <v>144</v>
      </c>
      <c r="B747" t="s">
        <v>138</v>
      </c>
      <c r="C747">
        <v>3.75</v>
      </c>
      <c r="D747">
        <v>1.875</v>
      </c>
      <c r="E747">
        <v>9.031593247575272E-05</v>
      </c>
      <c r="F747">
        <v>0.0001706122118854</v>
      </c>
      <c r="G747">
        <v>1.751590731781305E-05</v>
      </c>
      <c r="H747">
        <v>0</v>
      </c>
      <c r="J747" t="b">
        <v>1</v>
      </c>
      <c r="K747">
        <v>3.889448624465075</v>
      </c>
      <c r="L747" t="b">
        <v>1</v>
      </c>
      <c r="M747" t="b">
        <v>1</v>
      </c>
    </row>
    <row r="748" spans="1:13">
      <c r="A748" t="s">
        <v>144</v>
      </c>
      <c r="B748" t="s">
        <v>139</v>
      </c>
      <c r="C748">
        <v>3.75</v>
      </c>
      <c r="D748">
        <v>1.875</v>
      </c>
      <c r="E748">
        <v>0.0001246995162576</v>
      </c>
      <c r="F748">
        <v>0.0002298533914064</v>
      </c>
      <c r="G748">
        <v>1.751590731781305E-05</v>
      </c>
      <c r="H748">
        <v>0</v>
      </c>
      <c r="J748" t="b">
        <v>1</v>
      </c>
      <c r="K748">
        <v>4.141005174375678</v>
      </c>
      <c r="L748" t="b">
        <v>1</v>
      </c>
      <c r="M748" t="b">
        <v>1</v>
      </c>
    </row>
    <row r="749" spans="1:13">
      <c r="A749" t="s">
        <v>145</v>
      </c>
      <c r="B749" t="s">
        <v>116</v>
      </c>
      <c r="C749">
        <v>3.75</v>
      </c>
      <c r="D749">
        <v>1.875</v>
      </c>
      <c r="E749">
        <v>0.0003033439079172</v>
      </c>
      <c r="F749">
        <v>0</v>
      </c>
      <c r="G749">
        <v>0.0003033439079045</v>
      </c>
      <c r="H749">
        <v>0.0047241718112331</v>
      </c>
      <c r="I749">
        <v>1.875</v>
      </c>
      <c r="J749" t="b">
        <v>1</v>
      </c>
      <c r="K749">
        <v>7.446852756407907</v>
      </c>
      <c r="L749" t="b">
        <v>1</v>
      </c>
      <c r="M749" t="b">
        <v>1</v>
      </c>
    </row>
    <row r="750" spans="1:13">
      <c r="A750" t="s">
        <v>145</v>
      </c>
      <c r="B750" t="s">
        <v>117</v>
      </c>
      <c r="C750">
        <v>3.75</v>
      </c>
      <c r="D750">
        <v>1.875</v>
      </c>
      <c r="E750">
        <v>0.0003033439079172</v>
      </c>
      <c r="F750">
        <v>0</v>
      </c>
      <c r="G750">
        <v>0.0003033439079045</v>
      </c>
      <c r="H750">
        <v>0.0087280972313976</v>
      </c>
      <c r="I750">
        <v>1.875</v>
      </c>
      <c r="J750" t="b">
        <v>1</v>
      </c>
      <c r="K750">
        <v>7.400937325948576</v>
      </c>
      <c r="L750" t="b">
        <v>1</v>
      </c>
      <c r="M750" t="b">
        <v>1</v>
      </c>
    </row>
    <row r="751" spans="1:13">
      <c r="A751" t="s">
        <v>145</v>
      </c>
      <c r="B751" t="s">
        <v>118</v>
      </c>
      <c r="C751">
        <v>3.75</v>
      </c>
      <c r="D751">
        <v>1.875</v>
      </c>
      <c r="E751">
        <v>0.0003033439079172</v>
      </c>
      <c r="F751">
        <v>0</v>
      </c>
      <c r="G751">
        <v>0.0003033439079045</v>
      </c>
      <c r="H751">
        <v>0.0129344472509558</v>
      </c>
      <c r="I751">
        <v>1.875</v>
      </c>
      <c r="J751" t="b">
        <v>1</v>
      </c>
      <c r="K751">
        <v>7.358784190182632</v>
      </c>
      <c r="L751" t="b">
        <v>1</v>
      </c>
      <c r="M751" t="b">
        <v>1</v>
      </c>
    </row>
    <row r="752" spans="1:13">
      <c r="A752" t="s">
        <v>145</v>
      </c>
      <c r="B752" t="s">
        <v>119</v>
      </c>
      <c r="C752">
        <v>3.75</v>
      </c>
      <c r="D752">
        <v>1.875</v>
      </c>
      <c r="E752">
        <v>0.0003033439079172</v>
      </c>
      <c r="F752">
        <v>0</v>
      </c>
      <c r="G752">
        <v>0.0003033439079045</v>
      </c>
      <c r="H752">
        <v>0.0169718858183074</v>
      </c>
      <c r="I752">
        <v>0</v>
      </c>
      <c r="J752" t="b">
        <v>1</v>
      </c>
      <c r="K752">
        <v>7.325481898858044</v>
      </c>
      <c r="L752" t="b">
        <v>1</v>
      </c>
      <c r="M752" t="b">
        <v>1</v>
      </c>
    </row>
    <row r="753" spans="1:13">
      <c r="A753" t="s">
        <v>145</v>
      </c>
      <c r="B753" t="s">
        <v>120</v>
      </c>
      <c r="C753">
        <v>3.75</v>
      </c>
      <c r="D753">
        <v>1.875</v>
      </c>
      <c r="E753">
        <v>0.0003428764740939</v>
      </c>
      <c r="F753">
        <v>0</v>
      </c>
      <c r="G753">
        <v>0.0003033439079045</v>
      </c>
      <c r="H753">
        <v>0.0062839755652248</v>
      </c>
      <c r="I753">
        <v>0</v>
      </c>
      <c r="J753" t="b">
        <v>1</v>
      </c>
      <c r="K753">
        <v>6.641622051253648</v>
      </c>
      <c r="L753" t="b">
        <v>1</v>
      </c>
      <c r="M753" t="b">
        <v>1</v>
      </c>
    </row>
    <row r="754" spans="1:13">
      <c r="A754" t="s">
        <v>145</v>
      </c>
      <c r="B754" t="s">
        <v>121</v>
      </c>
      <c r="C754">
        <v>3.75</v>
      </c>
      <c r="D754">
        <v>1.875</v>
      </c>
      <c r="E754">
        <v>0.0003958999554437</v>
      </c>
      <c r="F754">
        <v>0</v>
      </c>
      <c r="G754">
        <v>0.0003033439079045</v>
      </c>
      <c r="H754">
        <v>0.011510556082996</v>
      </c>
      <c r="I754">
        <v>0</v>
      </c>
      <c r="J754" t="b">
        <v>1</v>
      </c>
      <c r="K754">
        <v>6.591507520603557</v>
      </c>
      <c r="L754" t="b">
        <v>1</v>
      </c>
      <c r="M754" t="b">
        <v>1</v>
      </c>
    </row>
    <row r="755" spans="1:13">
      <c r="A755" t="s">
        <v>145</v>
      </c>
      <c r="B755" t="s">
        <v>122</v>
      </c>
      <c r="C755">
        <v>3.75</v>
      </c>
      <c r="D755">
        <v>1.875</v>
      </c>
      <c r="E755">
        <v>0.0004528082076516</v>
      </c>
      <c r="F755">
        <v>0</v>
      </c>
      <c r="G755">
        <v>0.0003033439079045</v>
      </c>
      <c r="H755">
        <v>0.0169309417480718</v>
      </c>
      <c r="I755">
        <v>0</v>
      </c>
      <c r="J755" t="b">
        <v>1</v>
      </c>
      <c r="K755">
        <v>6.552795328968841</v>
      </c>
      <c r="L755" t="b">
        <v>1</v>
      </c>
      <c r="M755" t="b">
        <v>1</v>
      </c>
    </row>
    <row r="756" spans="1:13">
      <c r="A756" t="s">
        <v>145</v>
      </c>
      <c r="B756" t="s">
        <v>123</v>
      </c>
      <c r="C756">
        <v>3.75</v>
      </c>
      <c r="D756">
        <v>1.875</v>
      </c>
      <c r="E756">
        <v>0.0003384953492668</v>
      </c>
      <c r="F756">
        <v>0</v>
      </c>
      <c r="G756">
        <v>0.0003033439079045</v>
      </c>
      <c r="H756">
        <v>0.0219877945903164</v>
      </c>
      <c r="I756">
        <v>1.875</v>
      </c>
      <c r="J756" t="b">
        <v>1</v>
      </c>
      <c r="K756">
        <v>6.527820453258926</v>
      </c>
      <c r="L756" t="b">
        <v>1</v>
      </c>
      <c r="M756" t="b">
        <v>1</v>
      </c>
    </row>
    <row r="757" spans="1:13">
      <c r="A757" t="s">
        <v>145</v>
      </c>
      <c r="B757" t="s">
        <v>124</v>
      </c>
      <c r="C757">
        <v>3.75</v>
      </c>
      <c r="D757">
        <v>1.875</v>
      </c>
      <c r="E757">
        <v>0.0011723790962287</v>
      </c>
      <c r="F757">
        <v>0</v>
      </c>
      <c r="G757">
        <v>0.0003033439079045</v>
      </c>
      <c r="H757">
        <v>0.0072786430305029</v>
      </c>
      <c r="I757">
        <v>1.875</v>
      </c>
      <c r="J757" t="b">
        <v>1</v>
      </c>
      <c r="K757">
        <v>6.160581948526556</v>
      </c>
      <c r="L757" t="b">
        <v>1</v>
      </c>
      <c r="M757" t="b">
        <v>1</v>
      </c>
    </row>
    <row r="758" spans="1:13">
      <c r="A758" t="s">
        <v>145</v>
      </c>
      <c r="B758" t="s">
        <v>125</v>
      </c>
      <c r="C758">
        <v>3.75</v>
      </c>
      <c r="D758">
        <v>1.875</v>
      </c>
      <c r="E758">
        <v>0.0003206030289448</v>
      </c>
      <c r="F758">
        <v>0</v>
      </c>
      <c r="G758">
        <v>0.0003033439079045</v>
      </c>
      <c r="H758">
        <v>0.0131160136591574</v>
      </c>
      <c r="I758">
        <v>1.875</v>
      </c>
      <c r="J758" t="b">
        <v>1</v>
      </c>
      <c r="K758">
        <v>6.104780638969487</v>
      </c>
      <c r="L758" t="b">
        <v>1</v>
      </c>
      <c r="M758" t="b">
        <v>1</v>
      </c>
    </row>
    <row r="759" spans="1:13">
      <c r="A759" t="s">
        <v>145</v>
      </c>
      <c r="B759" t="s">
        <v>126</v>
      </c>
      <c r="C759">
        <v>3.75</v>
      </c>
      <c r="D759">
        <v>1.875</v>
      </c>
      <c r="E759">
        <v>0.0009028518768184999</v>
      </c>
      <c r="F759">
        <v>0</v>
      </c>
      <c r="G759">
        <v>0.0003033439079045</v>
      </c>
      <c r="H759">
        <v>0.0189593928011646</v>
      </c>
      <c r="I759">
        <v>0</v>
      </c>
      <c r="J759" t="b">
        <v>1</v>
      </c>
      <c r="K759">
        <v>6.069687144529468</v>
      </c>
      <c r="L759" t="b">
        <v>1</v>
      </c>
      <c r="M759" t="b">
        <v>1</v>
      </c>
    </row>
    <row r="760" spans="1:13">
      <c r="A760" t="s">
        <v>145</v>
      </c>
      <c r="B760" t="s">
        <v>127</v>
      </c>
      <c r="C760">
        <v>3.75</v>
      </c>
      <c r="D760">
        <v>1.875</v>
      </c>
      <c r="E760">
        <v>0.0010254917883747</v>
      </c>
      <c r="F760">
        <v>0</v>
      </c>
      <c r="G760">
        <v>0.0003033439079045</v>
      </c>
      <c r="H760">
        <v>0.024102135659163</v>
      </c>
      <c r="I760">
        <v>0</v>
      </c>
      <c r="J760" t="b">
        <v>1</v>
      </c>
      <c r="K760">
        <v>6.056829037822098</v>
      </c>
      <c r="L760" t="b">
        <v>1</v>
      </c>
      <c r="M760" t="b">
        <v>1</v>
      </c>
    </row>
    <row r="761" spans="1:13">
      <c r="A761" t="s">
        <v>145</v>
      </c>
      <c r="B761" t="s">
        <v>128</v>
      </c>
      <c r="C761">
        <v>3.75</v>
      </c>
      <c r="D761">
        <v>1.875</v>
      </c>
      <c r="E761">
        <v>0.0010501790440319</v>
      </c>
      <c r="F761">
        <v>0</v>
      </c>
      <c r="G761">
        <v>0.0003033439079045</v>
      </c>
      <c r="H761">
        <v>0.0080052562040648</v>
      </c>
      <c r="I761">
        <v>0</v>
      </c>
      <c r="J761" t="b">
        <v>1</v>
      </c>
      <c r="K761">
        <v>5.814167742303766</v>
      </c>
      <c r="L761" t="b">
        <v>1</v>
      </c>
      <c r="M761" t="b">
        <v>1</v>
      </c>
    </row>
    <row r="762" spans="1:13">
      <c r="A762" t="s">
        <v>145</v>
      </c>
      <c r="B762" t="s">
        <v>129</v>
      </c>
      <c r="C762">
        <v>3.75</v>
      </c>
      <c r="D762">
        <v>1.875</v>
      </c>
      <c r="E762">
        <v>0.001107437722851</v>
      </c>
      <c r="F762">
        <v>0</v>
      </c>
      <c r="G762">
        <v>0.0003033439079045</v>
      </c>
      <c r="H762">
        <v>0.0142243271595035</v>
      </c>
      <c r="I762">
        <v>0</v>
      </c>
      <c r="J762" t="b">
        <v>1</v>
      </c>
      <c r="K762">
        <v>5.76029367419153</v>
      </c>
      <c r="L762" t="b">
        <v>1</v>
      </c>
      <c r="M762" t="b">
        <v>1</v>
      </c>
    </row>
    <row r="763" spans="1:13">
      <c r="A763" t="s">
        <v>145</v>
      </c>
      <c r="B763" t="s">
        <v>130</v>
      </c>
      <c r="C763">
        <v>3.75</v>
      </c>
      <c r="D763">
        <v>1.875</v>
      </c>
      <c r="E763">
        <v>0.0013745991243617</v>
      </c>
      <c r="F763">
        <v>0</v>
      </c>
      <c r="G763">
        <v>0.0003033439079045</v>
      </c>
      <c r="H763">
        <v>0.0200995761067694</v>
      </c>
      <c r="I763">
        <v>0</v>
      </c>
      <c r="J763" t="b">
        <v>1</v>
      </c>
      <c r="K763">
        <v>5.727632424071061</v>
      </c>
      <c r="L763" t="b">
        <v>1</v>
      </c>
      <c r="M763" t="b">
        <v>1</v>
      </c>
    </row>
    <row r="764" spans="1:13">
      <c r="A764" t="s">
        <v>145</v>
      </c>
      <c r="B764" t="s">
        <v>131</v>
      </c>
      <c r="C764">
        <v>3.75</v>
      </c>
      <c r="D764">
        <v>1.875</v>
      </c>
      <c r="E764">
        <v>0.000376253944153</v>
      </c>
      <c r="F764">
        <v>0</v>
      </c>
      <c r="G764">
        <v>0.0003033439079045</v>
      </c>
      <c r="H764">
        <v>0.0247476312154724</v>
      </c>
      <c r="I764">
        <v>1.875</v>
      </c>
      <c r="J764" t="b">
        <v>1</v>
      </c>
      <c r="K764">
        <v>5.73649727095642</v>
      </c>
      <c r="L764" t="b">
        <v>1</v>
      </c>
      <c r="M764" t="b">
        <v>1</v>
      </c>
    </row>
    <row r="765" spans="1:13">
      <c r="A765" t="s">
        <v>145</v>
      </c>
      <c r="B765" t="s">
        <v>132</v>
      </c>
      <c r="C765">
        <v>3.75</v>
      </c>
      <c r="D765">
        <v>1.875</v>
      </c>
      <c r="E765">
        <v>0.0027265403255847</v>
      </c>
      <c r="F765">
        <v>0</v>
      </c>
      <c r="G765">
        <v>0.0003033439079045</v>
      </c>
      <c r="H765">
        <v>0.0085873606302548</v>
      </c>
      <c r="I765">
        <v>1.875</v>
      </c>
      <c r="J765" t="b">
        <v>1</v>
      </c>
      <c r="K765">
        <v>5.549556299159519</v>
      </c>
      <c r="L765" t="b">
        <v>1</v>
      </c>
      <c r="M765" t="b">
        <v>1</v>
      </c>
    </row>
    <row r="766" spans="1:13">
      <c r="A766" t="s">
        <v>145</v>
      </c>
      <c r="B766" t="s">
        <v>133</v>
      </c>
      <c r="C766">
        <v>3.75</v>
      </c>
      <c r="D766">
        <v>1.875</v>
      </c>
      <c r="E766">
        <v>0.0022310857848556</v>
      </c>
      <c r="F766">
        <v>0</v>
      </c>
      <c r="G766">
        <v>0.0003033439079045</v>
      </c>
      <c r="H766">
        <v>0.0149582322251848</v>
      </c>
      <c r="I766">
        <v>0</v>
      </c>
      <c r="J766" t="b">
        <v>1</v>
      </c>
      <c r="K766">
        <v>5.494426865079305</v>
      </c>
      <c r="L766" t="b">
        <v>1</v>
      </c>
      <c r="M766" t="b">
        <v>1</v>
      </c>
    </row>
    <row r="767" spans="1:13">
      <c r="A767" t="s">
        <v>145</v>
      </c>
      <c r="B767" t="s">
        <v>134</v>
      </c>
      <c r="C767">
        <v>3.75</v>
      </c>
      <c r="D767">
        <v>1.875</v>
      </c>
      <c r="E767">
        <v>7.31725139875315E-05</v>
      </c>
      <c r="F767">
        <v>0.0001381453808005</v>
      </c>
      <c r="G767">
        <v>0.0003033439079045</v>
      </c>
      <c r="H767">
        <v>0</v>
      </c>
      <c r="J767" t="b">
        <v>1</v>
      </c>
      <c r="K767">
        <v>4.111747332610349</v>
      </c>
      <c r="L767" t="b">
        <v>1</v>
      </c>
      <c r="M767" t="b">
        <v>1</v>
      </c>
    </row>
    <row r="768" spans="1:13">
      <c r="A768" t="s">
        <v>145</v>
      </c>
      <c r="B768" t="s">
        <v>135</v>
      </c>
      <c r="C768">
        <v>3.75</v>
      </c>
      <c r="D768">
        <v>1.875</v>
      </c>
      <c r="E768">
        <v>0.0001013138962167</v>
      </c>
      <c r="F768">
        <v>0.0001865066048817</v>
      </c>
      <c r="G768">
        <v>0.0003033439079045</v>
      </c>
      <c r="H768">
        <v>0</v>
      </c>
      <c r="J768" t="b">
        <v>1</v>
      </c>
      <c r="K768">
        <v>4.362554527904194</v>
      </c>
      <c r="L768" t="b">
        <v>1</v>
      </c>
      <c r="M768" t="b">
        <v>1</v>
      </c>
    </row>
    <row r="769" spans="1:13">
      <c r="A769" t="s">
        <v>145</v>
      </c>
      <c r="B769" t="s">
        <v>136</v>
      </c>
      <c r="C769">
        <v>3.75</v>
      </c>
      <c r="D769">
        <v>1.875</v>
      </c>
      <c r="E769">
        <v>2.616281871253265E-05</v>
      </c>
      <c r="F769">
        <v>5.111372414803797E-05</v>
      </c>
      <c r="G769">
        <v>0.0003033439079045</v>
      </c>
      <c r="H769">
        <v>0</v>
      </c>
      <c r="J769" t="b">
        <v>1</v>
      </c>
      <c r="K769">
        <v>3.141751159134287</v>
      </c>
      <c r="L769" t="b">
        <v>1</v>
      </c>
      <c r="M769" t="b">
        <v>1</v>
      </c>
    </row>
    <row r="770" spans="1:13">
      <c r="A770" t="s">
        <v>145</v>
      </c>
      <c r="B770" t="s">
        <v>137</v>
      </c>
      <c r="C770">
        <v>3.75</v>
      </c>
      <c r="D770">
        <v>1.875</v>
      </c>
      <c r="E770">
        <v>4.838332226355651E-05</v>
      </c>
      <c r="F770">
        <v>9.311371014500513E-05</v>
      </c>
      <c r="G770">
        <v>0.0003033439079045</v>
      </c>
      <c r="H770">
        <v>0</v>
      </c>
      <c r="J770" t="b">
        <v>1</v>
      </c>
      <c r="K770">
        <v>3.550314998329895</v>
      </c>
      <c r="L770" t="b">
        <v>1</v>
      </c>
      <c r="M770" t="b">
        <v>1</v>
      </c>
    </row>
    <row r="771" spans="1:13">
      <c r="A771" t="s">
        <v>145</v>
      </c>
      <c r="B771" t="s">
        <v>138</v>
      </c>
      <c r="C771">
        <v>3.75</v>
      </c>
      <c r="D771">
        <v>1.875</v>
      </c>
      <c r="E771">
        <v>7.31725139875315E-05</v>
      </c>
      <c r="F771">
        <v>0.0001381453808005</v>
      </c>
      <c r="G771">
        <v>0.0003033439079045</v>
      </c>
      <c r="H771">
        <v>0</v>
      </c>
      <c r="J771" t="b">
        <v>1</v>
      </c>
      <c r="K771">
        <v>3.855389033439138</v>
      </c>
      <c r="L771" t="b">
        <v>1</v>
      </c>
      <c r="M771" t="b">
        <v>1</v>
      </c>
    </row>
    <row r="772" spans="1:13">
      <c r="A772" t="s">
        <v>145</v>
      </c>
      <c r="B772" t="s">
        <v>139</v>
      </c>
      <c r="C772">
        <v>3.75</v>
      </c>
      <c r="D772">
        <v>1.875</v>
      </c>
      <c r="E772">
        <v>0.0001013138962167</v>
      </c>
      <c r="F772">
        <v>0.0001865066048817</v>
      </c>
      <c r="G772">
        <v>0.0003033439079045</v>
      </c>
      <c r="H772">
        <v>0</v>
      </c>
      <c r="J772" t="b">
        <v>1</v>
      </c>
      <c r="K772">
        <v>4.106105288594364</v>
      </c>
      <c r="L772" t="b">
        <v>1</v>
      </c>
      <c r="M772" t="b">
        <v>1</v>
      </c>
    </row>
    <row r="773" spans="1:13">
      <c r="A773" t="s">
        <v>146</v>
      </c>
      <c r="B773" t="s">
        <v>116</v>
      </c>
      <c r="C773">
        <v>3.75</v>
      </c>
      <c r="D773">
        <v>1.875</v>
      </c>
      <c r="E773">
        <v>0.0004127944940389</v>
      </c>
      <c r="F773">
        <v>0</v>
      </c>
      <c r="G773">
        <v>0.0004127944940509</v>
      </c>
      <c r="H773">
        <v>0.0054985789482771</v>
      </c>
      <c r="I773">
        <v>0</v>
      </c>
      <c r="J773" t="b">
        <v>1</v>
      </c>
      <c r="K773">
        <v>8.071154413664772</v>
      </c>
      <c r="L773" t="b">
        <v>1</v>
      </c>
      <c r="M773" t="b">
        <v>1</v>
      </c>
    </row>
    <row r="774" spans="1:13">
      <c r="A774" t="s">
        <v>146</v>
      </c>
      <c r="B774" t="s">
        <v>117</v>
      </c>
      <c r="C774">
        <v>3.75</v>
      </c>
      <c r="D774">
        <v>1.875</v>
      </c>
      <c r="E774">
        <v>0.0004127944940389</v>
      </c>
      <c r="F774">
        <v>0</v>
      </c>
      <c r="G774">
        <v>0.0004127944940509</v>
      </c>
      <c r="H774">
        <v>0.010366661747355</v>
      </c>
      <c r="I774">
        <v>1.875</v>
      </c>
      <c r="J774" t="b">
        <v>1</v>
      </c>
      <c r="K774">
        <v>8.02494240063254</v>
      </c>
      <c r="L774" t="b">
        <v>1</v>
      </c>
      <c r="M774" t="b">
        <v>1</v>
      </c>
    </row>
    <row r="775" spans="1:13">
      <c r="A775" t="s">
        <v>146</v>
      </c>
      <c r="B775" t="s">
        <v>118</v>
      </c>
      <c r="C775">
        <v>3.75</v>
      </c>
      <c r="D775">
        <v>1.875</v>
      </c>
      <c r="E775">
        <v>0.0004127944940389</v>
      </c>
      <c r="F775">
        <v>0</v>
      </c>
      <c r="G775">
        <v>0.0004127944940509</v>
      </c>
      <c r="H775">
        <v>0.0156638876421766</v>
      </c>
      <c r="I775">
        <v>1.875</v>
      </c>
      <c r="J775" t="b">
        <v>1</v>
      </c>
      <c r="K775">
        <v>7.9775793342165</v>
      </c>
      <c r="L775" t="b">
        <v>1</v>
      </c>
      <c r="M775" t="b">
        <v>1</v>
      </c>
    </row>
    <row r="776" spans="1:13">
      <c r="A776" t="s">
        <v>146</v>
      </c>
      <c r="B776" t="s">
        <v>119</v>
      </c>
      <c r="C776">
        <v>3.75</v>
      </c>
      <c r="D776">
        <v>1.875</v>
      </c>
      <c r="E776">
        <v>0.0004127944940389</v>
      </c>
      <c r="F776">
        <v>0</v>
      </c>
      <c r="G776">
        <v>0.0004127944940509</v>
      </c>
      <c r="H776">
        <v>0.0209281375070702</v>
      </c>
      <c r="I776">
        <v>1.875</v>
      </c>
      <c r="J776" t="b">
        <v>1</v>
      </c>
      <c r="K776">
        <v>7.940756547444749</v>
      </c>
      <c r="L776" t="b">
        <v>1</v>
      </c>
      <c r="M776" t="b">
        <v>1</v>
      </c>
    </row>
    <row r="777" spans="1:13">
      <c r="A777" t="s">
        <v>146</v>
      </c>
      <c r="B777" t="s">
        <v>120</v>
      </c>
      <c r="C777">
        <v>3.75</v>
      </c>
      <c r="D777">
        <v>1.875</v>
      </c>
      <c r="E777">
        <v>0.0004127944940499</v>
      </c>
      <c r="F777">
        <v>0</v>
      </c>
      <c r="G777">
        <v>0.0004127944940509</v>
      </c>
      <c r="H777">
        <v>0.0075066368854237</v>
      </c>
      <c r="I777">
        <v>1.875</v>
      </c>
      <c r="J777" t="b">
        <v>1</v>
      </c>
      <c r="K777">
        <v>7.262666046121069</v>
      </c>
      <c r="L777" t="b">
        <v>1</v>
      </c>
      <c r="M777" t="b">
        <v>1</v>
      </c>
    </row>
    <row r="778" spans="1:13">
      <c r="A778" t="s">
        <v>146</v>
      </c>
      <c r="B778" t="s">
        <v>121</v>
      </c>
      <c r="C778">
        <v>3.75</v>
      </c>
      <c r="D778">
        <v>1.875</v>
      </c>
      <c r="E778">
        <v>0.0004127944940499</v>
      </c>
      <c r="F778">
        <v>0</v>
      </c>
      <c r="G778">
        <v>0.0004127944940509</v>
      </c>
      <c r="H778">
        <v>0.0141866700679855</v>
      </c>
      <c r="I778">
        <v>1.875</v>
      </c>
      <c r="J778" t="b">
        <v>1</v>
      </c>
      <c r="K778">
        <v>7.212436260158483</v>
      </c>
      <c r="L778" t="b">
        <v>1</v>
      </c>
      <c r="M778" t="b">
        <v>1</v>
      </c>
    </row>
    <row r="779" spans="1:13">
      <c r="A779" t="s">
        <v>146</v>
      </c>
      <c r="B779" t="s">
        <v>122</v>
      </c>
      <c r="C779">
        <v>3.75</v>
      </c>
      <c r="D779">
        <v>1.875</v>
      </c>
      <c r="E779">
        <v>0.0004127944940501</v>
      </c>
      <c r="F779">
        <v>0</v>
      </c>
      <c r="G779">
        <v>0.0004127944940509</v>
      </c>
      <c r="H779">
        <v>0.0215041465793177</v>
      </c>
      <c r="I779">
        <v>1.875</v>
      </c>
      <c r="J779" t="b">
        <v>1</v>
      </c>
      <c r="K779">
        <v>7.166846631120194</v>
      </c>
      <c r="L779" t="b">
        <v>1</v>
      </c>
      <c r="M779" t="b">
        <v>1</v>
      </c>
    </row>
    <row r="780" spans="1:13">
      <c r="A780" t="s">
        <v>146</v>
      </c>
      <c r="B780" t="s">
        <v>123</v>
      </c>
      <c r="C780">
        <v>3.75</v>
      </c>
      <c r="D780">
        <v>1.875</v>
      </c>
      <c r="E780">
        <v>0.0004127944940499</v>
      </c>
      <c r="F780">
        <v>0</v>
      </c>
      <c r="G780">
        <v>0.0004127944940509</v>
      </c>
      <c r="H780">
        <v>0.0287663897952228</v>
      </c>
      <c r="I780">
        <v>0</v>
      </c>
      <c r="J780" t="b">
        <v>1</v>
      </c>
      <c r="K780">
        <v>7.128334964643557</v>
      </c>
      <c r="L780" t="b">
        <v>1</v>
      </c>
      <c r="M780" t="b">
        <v>1</v>
      </c>
    </row>
    <row r="781" spans="1:13">
      <c r="A781" t="s">
        <v>146</v>
      </c>
      <c r="B781" t="s">
        <v>124</v>
      </c>
      <c r="C781">
        <v>3.75</v>
      </c>
      <c r="D781">
        <v>1.875</v>
      </c>
      <c r="E781">
        <v>0.0004127944940942</v>
      </c>
      <c r="F781">
        <v>0</v>
      </c>
      <c r="G781">
        <v>0.0004127944940509</v>
      </c>
      <c r="H781">
        <v>0.008905831927066199</v>
      </c>
      <c r="I781">
        <v>1.875</v>
      </c>
      <c r="J781" t="b">
        <v>1</v>
      </c>
      <c r="K781">
        <v>6.785079260527027</v>
      </c>
      <c r="L781" t="b">
        <v>1</v>
      </c>
      <c r="M781" t="b">
        <v>1</v>
      </c>
    </row>
    <row r="782" spans="1:13">
      <c r="A782" t="s">
        <v>146</v>
      </c>
      <c r="B782" t="s">
        <v>125</v>
      </c>
      <c r="C782">
        <v>3.75</v>
      </c>
      <c r="D782">
        <v>1.875</v>
      </c>
      <c r="E782">
        <v>0.0004127944940942</v>
      </c>
      <c r="F782">
        <v>0</v>
      </c>
      <c r="G782">
        <v>0.0004127944940509</v>
      </c>
      <c r="H782">
        <v>0.0167098938641458</v>
      </c>
      <c r="I782">
        <v>0</v>
      </c>
      <c r="J782" t="b">
        <v>1</v>
      </c>
      <c r="K782">
        <v>6.725128063253294</v>
      </c>
      <c r="L782" t="b">
        <v>1</v>
      </c>
      <c r="M782" t="b">
        <v>1</v>
      </c>
    </row>
    <row r="783" spans="1:13">
      <c r="A783" t="s">
        <v>146</v>
      </c>
      <c r="B783" t="s">
        <v>126</v>
      </c>
      <c r="C783">
        <v>3.75</v>
      </c>
      <c r="D783">
        <v>1.875</v>
      </c>
      <c r="E783">
        <v>0.0004127944940942</v>
      </c>
      <c r="F783">
        <v>0</v>
      </c>
      <c r="G783">
        <v>0.0004127944940509</v>
      </c>
      <c r="H783">
        <v>0.0251707230120814</v>
      </c>
      <c r="I783">
        <v>0</v>
      </c>
      <c r="J783" t="b">
        <v>1</v>
      </c>
      <c r="K783">
        <v>6.677430882628954</v>
      </c>
      <c r="L783" t="b">
        <v>1</v>
      </c>
      <c r="M783" t="b">
        <v>1</v>
      </c>
    </row>
    <row r="784" spans="1:13">
      <c r="A784" t="s">
        <v>146</v>
      </c>
      <c r="B784" t="s">
        <v>127</v>
      </c>
      <c r="C784">
        <v>3.75</v>
      </c>
      <c r="D784">
        <v>1.875</v>
      </c>
      <c r="E784">
        <v>0.0004127944940942</v>
      </c>
      <c r="F784">
        <v>0</v>
      </c>
      <c r="G784">
        <v>0.0004127944940509</v>
      </c>
      <c r="H784">
        <v>0.0333938392245727</v>
      </c>
      <c r="I784">
        <v>1.875</v>
      </c>
      <c r="J784" t="b">
        <v>1</v>
      </c>
      <c r="K784">
        <v>6.637756235809888</v>
      </c>
      <c r="L784" t="b">
        <v>1</v>
      </c>
      <c r="M784" t="b">
        <v>1</v>
      </c>
    </row>
    <row r="785" spans="1:13">
      <c r="A785" t="s">
        <v>146</v>
      </c>
      <c r="B785" t="s">
        <v>128</v>
      </c>
      <c r="C785">
        <v>3.75</v>
      </c>
      <c r="D785">
        <v>1.875</v>
      </c>
      <c r="E785">
        <v>0.0003210144520732</v>
      </c>
      <c r="F785">
        <v>0</v>
      </c>
      <c r="G785">
        <v>0.0004127944940509</v>
      </c>
      <c r="H785">
        <v>0.0100024593308418</v>
      </c>
      <c r="I785">
        <v>0</v>
      </c>
      <c r="J785" t="b">
        <v>1</v>
      </c>
      <c r="K785">
        <v>6.439901765364198</v>
      </c>
      <c r="L785" t="b">
        <v>1</v>
      </c>
      <c r="M785" t="b">
        <v>1</v>
      </c>
    </row>
    <row r="786" spans="1:13">
      <c r="A786" t="s">
        <v>146</v>
      </c>
      <c r="B786" t="s">
        <v>129</v>
      </c>
      <c r="C786">
        <v>3.75</v>
      </c>
      <c r="D786">
        <v>1.875</v>
      </c>
      <c r="E786">
        <v>0.0003210144520732</v>
      </c>
      <c r="F786">
        <v>0</v>
      </c>
      <c r="G786">
        <v>0.0004127944940509</v>
      </c>
      <c r="H786">
        <v>0.0186817626141291</v>
      </c>
      <c r="I786">
        <v>1.875</v>
      </c>
      <c r="J786" t="b">
        <v>1</v>
      </c>
      <c r="K786">
        <v>6.379359631734616</v>
      </c>
      <c r="L786" t="b">
        <v>1</v>
      </c>
      <c r="M786" t="b">
        <v>1</v>
      </c>
    </row>
    <row r="787" spans="1:13">
      <c r="A787" t="s">
        <v>146</v>
      </c>
      <c r="B787" t="s">
        <v>130</v>
      </c>
      <c r="C787">
        <v>3.75</v>
      </c>
      <c r="D787">
        <v>1.875</v>
      </c>
      <c r="E787">
        <v>0.0007892241858831</v>
      </c>
      <c r="F787">
        <v>0</v>
      </c>
      <c r="G787">
        <v>0.0004127944940509</v>
      </c>
      <c r="H787">
        <v>0.0279804239387146</v>
      </c>
      <c r="I787">
        <v>0</v>
      </c>
      <c r="J787" t="b">
        <v>1</v>
      </c>
      <c r="K787">
        <v>6.333138266560923</v>
      </c>
      <c r="L787" t="b">
        <v>1</v>
      </c>
      <c r="M787" t="b">
        <v>1</v>
      </c>
    </row>
    <row r="788" spans="1:13">
      <c r="A788" t="s">
        <v>146</v>
      </c>
      <c r="B788" t="s">
        <v>131</v>
      </c>
      <c r="C788">
        <v>3.75</v>
      </c>
      <c r="D788">
        <v>1.875</v>
      </c>
      <c r="E788">
        <v>0.0012238792025857</v>
      </c>
      <c r="F788">
        <v>0</v>
      </c>
      <c r="G788">
        <v>0.0004127944940509</v>
      </c>
      <c r="H788">
        <v>0.0366640956617239</v>
      </c>
      <c r="I788">
        <v>1.875</v>
      </c>
      <c r="J788" t="b">
        <v>1</v>
      </c>
      <c r="K788">
        <v>6.290628755871808</v>
      </c>
      <c r="L788" t="b">
        <v>1</v>
      </c>
      <c r="M788" t="b">
        <v>1</v>
      </c>
    </row>
    <row r="789" spans="1:13">
      <c r="A789" t="s">
        <v>146</v>
      </c>
      <c r="B789" t="s">
        <v>132</v>
      </c>
      <c r="C789">
        <v>3.75</v>
      </c>
      <c r="D789">
        <v>1.875</v>
      </c>
      <c r="E789">
        <v>0.0016898976822856</v>
      </c>
      <c r="F789">
        <v>0</v>
      </c>
      <c r="G789">
        <v>0.0004127944940509</v>
      </c>
      <c r="H789">
        <v>0.0109034594971859</v>
      </c>
      <c r="I789">
        <v>1.875</v>
      </c>
      <c r="J789" t="b">
        <v>1</v>
      </c>
      <c r="K789">
        <v>6.172716822432278</v>
      </c>
      <c r="L789" t="b">
        <v>1</v>
      </c>
      <c r="M789" t="b">
        <v>1</v>
      </c>
    </row>
    <row r="790" spans="1:13">
      <c r="A790" t="s">
        <v>146</v>
      </c>
      <c r="B790" t="s">
        <v>133</v>
      </c>
      <c r="C790">
        <v>3.75</v>
      </c>
      <c r="D790">
        <v>1.875</v>
      </c>
      <c r="E790">
        <v>0.0053616534714269</v>
      </c>
      <c r="F790">
        <v>0</v>
      </c>
      <c r="G790">
        <v>0.0004127944940509</v>
      </c>
      <c r="H790">
        <v>0.020181540004609</v>
      </c>
      <c r="I790">
        <v>0</v>
      </c>
      <c r="J790" t="b">
        <v>1</v>
      </c>
      <c r="K790">
        <v>6.110404681890458</v>
      </c>
      <c r="L790" t="b">
        <v>1</v>
      </c>
      <c r="M790" t="b">
        <v>1</v>
      </c>
    </row>
    <row r="791" spans="1:13">
      <c r="A791" t="s">
        <v>146</v>
      </c>
      <c r="B791" t="s">
        <v>134</v>
      </c>
      <c r="C791">
        <v>3.75</v>
      </c>
      <c r="D791">
        <v>1.875</v>
      </c>
      <c r="E791">
        <v>0.00683610003193</v>
      </c>
      <c r="F791">
        <v>0</v>
      </c>
      <c r="G791">
        <v>0.0004127944940509</v>
      </c>
      <c r="H791">
        <v>0.0294745028120475</v>
      </c>
      <c r="I791">
        <v>0</v>
      </c>
      <c r="J791" t="b">
        <v>1</v>
      </c>
      <c r="K791">
        <v>6.060749210725191</v>
      </c>
      <c r="L791" t="b">
        <v>1</v>
      </c>
      <c r="M791" t="b">
        <v>1</v>
      </c>
    </row>
    <row r="792" spans="1:13">
      <c r="A792" t="s">
        <v>146</v>
      </c>
      <c r="B792" t="s">
        <v>135</v>
      </c>
      <c r="C792">
        <v>3.75</v>
      </c>
      <c r="D792">
        <v>1.875</v>
      </c>
      <c r="E792">
        <v>0.0001437703035812</v>
      </c>
      <c r="F792">
        <v>0.0002663763472122</v>
      </c>
      <c r="G792">
        <v>0.0004127944940509</v>
      </c>
      <c r="H792">
        <v>0</v>
      </c>
      <c r="J792" t="b">
        <v>1</v>
      </c>
      <c r="K792">
        <v>4.381854640717719</v>
      </c>
      <c r="L792" t="b">
        <v>1</v>
      </c>
      <c r="M792" t="b">
        <v>1</v>
      </c>
    </row>
    <row r="793" spans="1:13">
      <c r="A793" t="s">
        <v>146</v>
      </c>
      <c r="B793" t="s">
        <v>136</v>
      </c>
      <c r="C793">
        <v>3.75</v>
      </c>
      <c r="D793">
        <v>1.875</v>
      </c>
      <c r="E793">
        <v>3.305346464811286E-05</v>
      </c>
      <c r="F793">
        <v>6.459240448201305E-05</v>
      </c>
      <c r="G793">
        <v>0.0004127944940509</v>
      </c>
      <c r="H793">
        <v>0</v>
      </c>
      <c r="J793" t="b">
        <v>1</v>
      </c>
      <c r="K793">
        <v>3.173516805580334</v>
      </c>
      <c r="L793" t="b">
        <v>1</v>
      </c>
      <c r="M793" t="b">
        <v>1</v>
      </c>
    </row>
    <row r="794" spans="1:13">
      <c r="A794" t="s">
        <v>146</v>
      </c>
      <c r="B794" t="s">
        <v>137</v>
      </c>
      <c r="C794">
        <v>3.75</v>
      </c>
      <c r="D794">
        <v>1.875</v>
      </c>
      <c r="E794">
        <v>6.432108352933273E-05</v>
      </c>
      <c r="F794">
        <v>0.0001239100445348</v>
      </c>
      <c r="G794">
        <v>0.0004127944940509</v>
      </c>
      <c r="H794">
        <v>0</v>
      </c>
      <c r="J794" t="b">
        <v>1</v>
      </c>
      <c r="K794">
        <v>3.580048975747729</v>
      </c>
      <c r="L794" t="b">
        <v>1</v>
      </c>
      <c r="M794" t="b">
        <v>1</v>
      </c>
    </row>
    <row r="795" spans="1:13">
      <c r="A795" t="s">
        <v>146</v>
      </c>
      <c r="B795" t="s">
        <v>138</v>
      </c>
      <c r="C795">
        <v>3.75</v>
      </c>
      <c r="D795">
        <v>1.875</v>
      </c>
      <c r="E795">
        <v>0.0001018229228629</v>
      </c>
      <c r="F795">
        <v>0.0001927772692569</v>
      </c>
      <c r="G795">
        <v>0.0004127944940509</v>
      </c>
      <c r="H795">
        <v>0</v>
      </c>
      <c r="J795" t="b">
        <v>1</v>
      </c>
      <c r="K795">
        <v>3.88094368846481</v>
      </c>
      <c r="L795" t="b">
        <v>1</v>
      </c>
      <c r="M795" t="b">
        <v>1</v>
      </c>
    </row>
    <row r="796" spans="1:13">
      <c r="A796" t="s">
        <v>146</v>
      </c>
      <c r="B796" t="s">
        <v>139</v>
      </c>
      <c r="C796">
        <v>3.75</v>
      </c>
      <c r="D796">
        <v>1.875</v>
      </c>
      <c r="E796">
        <v>0.0001437703035812</v>
      </c>
      <c r="F796">
        <v>0.0002663763472122</v>
      </c>
      <c r="G796">
        <v>0.0004127944940509</v>
      </c>
      <c r="H796">
        <v>0</v>
      </c>
      <c r="J796" t="b">
        <v>1</v>
      </c>
      <c r="K796">
        <v>4.125694316510931</v>
      </c>
      <c r="L796" t="b">
        <v>1</v>
      </c>
      <c r="M796" t="b">
        <v>1</v>
      </c>
    </row>
    <row r="797" spans="1:13">
      <c r="A797" t="s">
        <v>147</v>
      </c>
      <c r="B797" t="s">
        <v>116</v>
      </c>
      <c r="C797">
        <v>3.75</v>
      </c>
      <c r="D797">
        <v>1.875</v>
      </c>
      <c r="E797">
        <v>5.359299045479192E-06</v>
      </c>
      <c r="F797">
        <v>0</v>
      </c>
      <c r="G797">
        <v>5.35929903867112E-06</v>
      </c>
      <c r="H797">
        <v>0.0059233727898799</v>
      </c>
      <c r="I797">
        <v>1.875</v>
      </c>
      <c r="J797" t="b">
        <v>1</v>
      </c>
      <c r="K797">
        <v>8.172943187528858</v>
      </c>
      <c r="L797" t="b">
        <v>1</v>
      </c>
      <c r="M797" t="b">
        <v>1</v>
      </c>
    </row>
    <row r="798" spans="1:13">
      <c r="A798" t="s">
        <v>147</v>
      </c>
      <c r="B798" t="s">
        <v>117</v>
      </c>
      <c r="C798">
        <v>3.75</v>
      </c>
      <c r="D798">
        <v>1.875</v>
      </c>
      <c r="E798">
        <v>5.359299045479192E-06</v>
      </c>
      <c r="F798">
        <v>0</v>
      </c>
      <c r="G798">
        <v>5.35929903867112E-06</v>
      </c>
      <c r="H798">
        <v>0.0114350860374088</v>
      </c>
      <c r="I798">
        <v>0</v>
      </c>
      <c r="J798" t="b">
        <v>1</v>
      </c>
      <c r="K798">
        <v>8.153798142286917</v>
      </c>
      <c r="L798" t="b">
        <v>1</v>
      </c>
      <c r="M798" t="b">
        <v>1</v>
      </c>
    </row>
    <row r="799" spans="1:13">
      <c r="A799" t="s">
        <v>147</v>
      </c>
      <c r="B799" t="s">
        <v>118</v>
      </c>
      <c r="C799">
        <v>3.75</v>
      </c>
      <c r="D799">
        <v>1.875</v>
      </c>
      <c r="E799">
        <v>5.359299045479192E-06</v>
      </c>
      <c r="F799">
        <v>0</v>
      </c>
      <c r="G799">
        <v>5.35929903867112E-06</v>
      </c>
      <c r="H799">
        <v>0.0176002248425675</v>
      </c>
      <c r="I799">
        <v>0</v>
      </c>
      <c r="J799" t="b">
        <v>1</v>
      </c>
      <c r="K799">
        <v>8.113557231229152</v>
      </c>
      <c r="L799" t="b">
        <v>1</v>
      </c>
      <c r="M799" t="b">
        <v>1</v>
      </c>
    </row>
    <row r="800" spans="1:13">
      <c r="A800" t="s">
        <v>147</v>
      </c>
      <c r="B800" t="s">
        <v>119</v>
      </c>
      <c r="C800">
        <v>3.75</v>
      </c>
      <c r="D800">
        <v>1.875</v>
      </c>
      <c r="E800">
        <v>5.359299045479192E-06</v>
      </c>
      <c r="F800">
        <v>0</v>
      </c>
      <c r="G800">
        <v>5.35929903867112E-06</v>
      </c>
      <c r="H800">
        <v>0.0239714385351135</v>
      </c>
      <c r="I800">
        <v>0</v>
      </c>
      <c r="J800" t="b">
        <v>1</v>
      </c>
      <c r="K800">
        <v>8.080728013145944</v>
      </c>
      <c r="L800" t="b">
        <v>1</v>
      </c>
      <c r="M800" t="b">
        <v>1</v>
      </c>
    </row>
    <row r="801" spans="1:13">
      <c r="A801" t="s">
        <v>147</v>
      </c>
      <c r="B801" t="s">
        <v>120</v>
      </c>
      <c r="C801">
        <v>3.75</v>
      </c>
      <c r="D801">
        <v>1.875</v>
      </c>
      <c r="E801">
        <v>5.359299020994019E-06</v>
      </c>
      <c r="F801">
        <v>0</v>
      </c>
      <c r="G801">
        <v>5.35929903867112E-06</v>
      </c>
      <c r="H801">
        <v>0.008106405710407201</v>
      </c>
      <c r="I801">
        <v>1.875</v>
      </c>
      <c r="J801" t="b">
        <v>1</v>
      </c>
      <c r="K801">
        <v>7.37775409850201</v>
      </c>
      <c r="L801" t="b">
        <v>1</v>
      </c>
      <c r="M801" t="b">
        <v>1</v>
      </c>
    </row>
    <row r="802" spans="1:13">
      <c r="A802" t="s">
        <v>147</v>
      </c>
      <c r="B802" t="s">
        <v>121</v>
      </c>
      <c r="C802">
        <v>3.75</v>
      </c>
      <c r="D802">
        <v>1.875</v>
      </c>
      <c r="E802">
        <v>5.359299020994019E-06</v>
      </c>
      <c r="F802">
        <v>0</v>
      </c>
      <c r="G802">
        <v>5.35929903867112E-06</v>
      </c>
      <c r="H802">
        <v>0.0156785454708483</v>
      </c>
      <c r="I802">
        <v>1.875</v>
      </c>
      <c r="J802" t="b">
        <v>1</v>
      </c>
      <c r="K802">
        <v>7.34706153515674</v>
      </c>
      <c r="L802" t="b">
        <v>1</v>
      </c>
      <c r="M802" t="b">
        <v>1</v>
      </c>
    </row>
    <row r="803" spans="1:13">
      <c r="A803" t="s">
        <v>147</v>
      </c>
      <c r="B803" t="s">
        <v>122</v>
      </c>
      <c r="C803">
        <v>3.75</v>
      </c>
      <c r="D803">
        <v>1.875</v>
      </c>
      <c r="E803">
        <v>5.359299020994019E-06</v>
      </c>
      <c r="F803">
        <v>0</v>
      </c>
      <c r="G803">
        <v>5.35929903867112E-06</v>
      </c>
      <c r="H803">
        <v>0.0243111596489029</v>
      </c>
      <c r="I803">
        <v>0</v>
      </c>
      <c r="J803" t="b">
        <v>1</v>
      </c>
      <c r="K803">
        <v>7.308792271341247</v>
      </c>
      <c r="L803" t="b">
        <v>1</v>
      </c>
      <c r="M803" t="b">
        <v>1</v>
      </c>
    </row>
    <row r="804" spans="1:13">
      <c r="A804" t="s">
        <v>147</v>
      </c>
      <c r="B804" t="s">
        <v>123</v>
      </c>
      <c r="C804">
        <v>3.75</v>
      </c>
      <c r="D804">
        <v>1.875</v>
      </c>
      <c r="E804">
        <v>5.359299020994019E-06</v>
      </c>
      <c r="F804">
        <v>0</v>
      </c>
      <c r="G804">
        <v>5.35929903867112E-06</v>
      </c>
      <c r="H804">
        <v>0.03345130430381</v>
      </c>
      <c r="I804">
        <v>1.875</v>
      </c>
      <c r="J804" t="b">
        <v>1</v>
      </c>
      <c r="K804">
        <v>7.28000214154747</v>
      </c>
      <c r="L804" t="b">
        <v>1</v>
      </c>
      <c r="M804" t="b">
        <v>1</v>
      </c>
    </row>
    <row r="805" spans="1:13">
      <c r="A805" t="s">
        <v>147</v>
      </c>
      <c r="B805" t="s">
        <v>124</v>
      </c>
      <c r="C805">
        <v>3.75</v>
      </c>
      <c r="D805">
        <v>1.875</v>
      </c>
      <c r="E805">
        <v>5.359299069844925E-06</v>
      </c>
      <c r="F805">
        <v>0</v>
      </c>
      <c r="G805">
        <v>5.35929903867112E-06</v>
      </c>
      <c r="H805">
        <v>0.009598858297294999</v>
      </c>
      <c r="I805">
        <v>0</v>
      </c>
      <c r="J805" t="b">
        <v>1</v>
      </c>
      <c r="K805">
        <v>6.905622886667118</v>
      </c>
      <c r="L805" t="b">
        <v>1</v>
      </c>
      <c r="M805" t="b">
        <v>1</v>
      </c>
    </row>
    <row r="806" spans="1:13">
      <c r="A806" t="s">
        <v>147</v>
      </c>
      <c r="B806" t="s">
        <v>125</v>
      </c>
      <c r="C806">
        <v>3.75</v>
      </c>
      <c r="D806">
        <v>1.875</v>
      </c>
      <c r="E806">
        <v>5.359299069844925E-06</v>
      </c>
      <c r="F806">
        <v>0</v>
      </c>
      <c r="G806">
        <v>5.35929903867112E-06</v>
      </c>
      <c r="H806">
        <v>0.0184843624027166</v>
      </c>
      <c r="I806">
        <v>0</v>
      </c>
      <c r="J806" t="b">
        <v>1</v>
      </c>
      <c r="K806">
        <v>6.86865771480285</v>
      </c>
      <c r="L806" t="b">
        <v>1</v>
      </c>
      <c r="M806" t="b">
        <v>1</v>
      </c>
    </row>
    <row r="807" spans="1:13">
      <c r="A807" t="s">
        <v>147</v>
      </c>
      <c r="B807" t="s">
        <v>126</v>
      </c>
      <c r="C807">
        <v>3.75</v>
      </c>
      <c r="D807">
        <v>1.875</v>
      </c>
      <c r="E807">
        <v>5.359299069844925E-06</v>
      </c>
      <c r="F807">
        <v>0</v>
      </c>
      <c r="G807">
        <v>5.35929903867112E-06</v>
      </c>
      <c r="H807">
        <v>0.0285089723352598</v>
      </c>
      <c r="I807">
        <v>1.875</v>
      </c>
      <c r="J807" t="b">
        <v>1</v>
      </c>
      <c r="K807">
        <v>6.826957506211073</v>
      </c>
      <c r="L807" t="b">
        <v>1</v>
      </c>
      <c r="M807" t="b">
        <v>1</v>
      </c>
    </row>
    <row r="808" spans="1:13">
      <c r="A808" t="s">
        <v>147</v>
      </c>
      <c r="B808" t="s">
        <v>127</v>
      </c>
      <c r="C808">
        <v>3.75</v>
      </c>
      <c r="D808">
        <v>1.875</v>
      </c>
      <c r="E808">
        <v>5.359299069844925E-06</v>
      </c>
      <c r="F808">
        <v>0</v>
      </c>
      <c r="G808">
        <v>5.35929903867112E-06</v>
      </c>
      <c r="H808">
        <v>0.0389004420745777</v>
      </c>
      <c r="I808">
        <v>0</v>
      </c>
      <c r="J808" t="b">
        <v>1</v>
      </c>
      <c r="K808">
        <v>6.793262187841975</v>
      </c>
      <c r="L808" t="b">
        <v>1</v>
      </c>
      <c r="M808" t="b">
        <v>1</v>
      </c>
    </row>
    <row r="809" spans="1:13">
      <c r="A809" t="s">
        <v>147</v>
      </c>
      <c r="B809" t="s">
        <v>128</v>
      </c>
      <c r="C809">
        <v>3.75</v>
      </c>
      <c r="D809">
        <v>1.875</v>
      </c>
      <c r="E809">
        <v>5.359299069844925E-06</v>
      </c>
      <c r="F809">
        <v>0</v>
      </c>
      <c r="G809">
        <v>5.35929903867112E-06</v>
      </c>
      <c r="H809">
        <v>0.0107808343775559</v>
      </c>
      <c r="I809">
        <v>0</v>
      </c>
      <c r="J809" t="b">
        <v>1</v>
      </c>
      <c r="K809">
        <v>6.569651898472273</v>
      </c>
      <c r="L809" t="b">
        <v>1</v>
      </c>
      <c r="M809" t="b">
        <v>1</v>
      </c>
    </row>
    <row r="810" spans="1:13">
      <c r="A810" t="s">
        <v>147</v>
      </c>
      <c r="B810" t="s">
        <v>129</v>
      </c>
      <c r="C810">
        <v>3.75</v>
      </c>
      <c r="D810">
        <v>1.875</v>
      </c>
      <c r="E810">
        <v>5.359299069844925E-06</v>
      </c>
      <c r="F810">
        <v>0</v>
      </c>
      <c r="G810">
        <v>5.35929903867112E-06</v>
      </c>
      <c r="H810">
        <v>0.0206338835704116</v>
      </c>
      <c r="I810">
        <v>1.875</v>
      </c>
      <c r="J810" t="b">
        <v>1</v>
      </c>
      <c r="K810">
        <v>6.526151711672412</v>
      </c>
      <c r="L810" t="b">
        <v>1</v>
      </c>
      <c r="M810" t="b">
        <v>1</v>
      </c>
    </row>
    <row r="811" spans="1:13">
      <c r="A811" t="s">
        <v>147</v>
      </c>
      <c r="B811" t="s">
        <v>130</v>
      </c>
      <c r="C811">
        <v>3.75</v>
      </c>
      <c r="D811">
        <v>1.875</v>
      </c>
      <c r="E811">
        <v>5.359299069844925E-06</v>
      </c>
      <c r="F811">
        <v>0</v>
      </c>
      <c r="G811">
        <v>5.35929903867112E-06</v>
      </c>
      <c r="H811">
        <v>0.0316466017537493</v>
      </c>
      <c r="I811">
        <v>0</v>
      </c>
      <c r="J811" t="b">
        <v>1</v>
      </c>
      <c r="K811">
        <v>6.483821504774312</v>
      </c>
      <c r="L811" t="b">
        <v>1</v>
      </c>
      <c r="M811" t="b">
        <v>1</v>
      </c>
    </row>
    <row r="812" spans="1:13">
      <c r="A812" t="s">
        <v>147</v>
      </c>
      <c r="B812" t="s">
        <v>131</v>
      </c>
      <c r="C812">
        <v>3.75</v>
      </c>
      <c r="D812">
        <v>1.875</v>
      </c>
      <c r="E812">
        <v>5.359299069964365E-06</v>
      </c>
      <c r="F812">
        <v>0</v>
      </c>
      <c r="G812">
        <v>5.35929903867112E-06</v>
      </c>
      <c r="H812">
        <v>0.0428705979736889</v>
      </c>
      <c r="I812">
        <v>1.875</v>
      </c>
      <c r="J812" t="b">
        <v>1</v>
      </c>
      <c r="K812">
        <v>6.448403619714327</v>
      </c>
      <c r="L812" t="b">
        <v>1</v>
      </c>
      <c r="M812" t="b">
        <v>1</v>
      </c>
    </row>
    <row r="813" spans="1:13">
      <c r="A813" t="s">
        <v>147</v>
      </c>
      <c r="B813" t="s">
        <v>132</v>
      </c>
      <c r="C813">
        <v>3.75</v>
      </c>
      <c r="D813">
        <v>1.875</v>
      </c>
      <c r="E813">
        <v>5.359298972023673E-06</v>
      </c>
      <c r="F813">
        <v>0</v>
      </c>
      <c r="G813">
        <v>5.35929903867112E-06</v>
      </c>
      <c r="H813">
        <v>0.0117638916030102</v>
      </c>
      <c r="I813">
        <v>1.875</v>
      </c>
      <c r="J813" t="b">
        <v>1</v>
      </c>
      <c r="K813">
        <v>6.304702909272919</v>
      </c>
      <c r="L813" t="b">
        <v>1</v>
      </c>
      <c r="M813" t="b">
        <v>1</v>
      </c>
    </row>
    <row r="814" spans="1:13">
      <c r="A814" t="s">
        <v>147</v>
      </c>
      <c r="B814" t="s">
        <v>133</v>
      </c>
      <c r="C814">
        <v>3.75</v>
      </c>
      <c r="D814">
        <v>1.875</v>
      </c>
      <c r="E814">
        <v>5.359298972023673E-06</v>
      </c>
      <c r="F814">
        <v>0</v>
      </c>
      <c r="G814">
        <v>5.35929903867112E-06</v>
      </c>
      <c r="H814">
        <v>0.0223795172994982</v>
      </c>
      <c r="I814">
        <v>1.875</v>
      </c>
      <c r="J814" t="b">
        <v>1</v>
      </c>
      <c r="K814">
        <v>6.255784005049492</v>
      </c>
      <c r="L814" t="b">
        <v>1</v>
      </c>
      <c r="M814" t="b">
        <v>1</v>
      </c>
    </row>
    <row r="815" spans="1:13">
      <c r="A815" t="s">
        <v>147</v>
      </c>
      <c r="B815" t="s">
        <v>134</v>
      </c>
      <c r="C815">
        <v>3.75</v>
      </c>
      <c r="D815">
        <v>1.875</v>
      </c>
      <c r="E815">
        <v>5.359298972023673E-06</v>
      </c>
      <c r="F815">
        <v>0</v>
      </c>
      <c r="G815">
        <v>5.35929903867112E-06</v>
      </c>
      <c r="H815">
        <v>0.0341383593859916</v>
      </c>
      <c r="I815">
        <v>1.875</v>
      </c>
      <c r="J815" t="b">
        <v>1</v>
      </c>
      <c r="K815">
        <v>6.212920103840247</v>
      </c>
      <c r="L815" t="b">
        <v>1</v>
      </c>
      <c r="M815" t="b">
        <v>1</v>
      </c>
    </row>
    <row r="816" spans="1:13">
      <c r="A816" t="s">
        <v>147</v>
      </c>
      <c r="B816" t="s">
        <v>135</v>
      </c>
      <c r="C816">
        <v>3.75</v>
      </c>
      <c r="D816">
        <v>1.875</v>
      </c>
      <c r="E816">
        <v>5.359298972023673E-06</v>
      </c>
      <c r="F816">
        <v>0</v>
      </c>
      <c r="G816">
        <v>5.35929903867112E-06</v>
      </c>
      <c r="H816">
        <v>0.0459464567346969</v>
      </c>
      <c r="I816">
        <v>1.875</v>
      </c>
      <c r="J816" t="b">
        <v>1</v>
      </c>
      <c r="K816">
        <v>6.179266372611281</v>
      </c>
      <c r="L816" t="b">
        <v>1</v>
      </c>
      <c r="M816" t="b">
        <v>1</v>
      </c>
    </row>
    <row r="817" spans="1:13">
      <c r="A817" t="s">
        <v>147</v>
      </c>
      <c r="B817" t="s">
        <v>136</v>
      </c>
      <c r="C817">
        <v>3.75</v>
      </c>
      <c r="D817">
        <v>1.875</v>
      </c>
      <c r="E817">
        <v>5.359298972023673E-06</v>
      </c>
      <c r="F817">
        <v>0</v>
      </c>
      <c r="G817">
        <v>5.35929903867112E-06</v>
      </c>
      <c r="H817">
        <v>0.0126148406646393</v>
      </c>
      <c r="I817">
        <v>0</v>
      </c>
      <c r="J817" t="b">
        <v>1</v>
      </c>
      <c r="K817">
        <v>6.086604600285739</v>
      </c>
      <c r="L817" t="b">
        <v>1</v>
      </c>
      <c r="M817" t="b">
        <v>1</v>
      </c>
    </row>
    <row r="818" spans="1:13">
      <c r="A818" t="s">
        <v>147</v>
      </c>
      <c r="B818" t="s">
        <v>137</v>
      </c>
      <c r="C818">
        <v>3.75</v>
      </c>
      <c r="D818">
        <v>1.875</v>
      </c>
      <c r="E818">
        <v>5.359298972023673E-06</v>
      </c>
      <c r="F818">
        <v>0</v>
      </c>
      <c r="G818">
        <v>5.35929903867112E-06</v>
      </c>
      <c r="H818">
        <v>0.0238811700846781</v>
      </c>
      <c r="I818">
        <v>1.875</v>
      </c>
      <c r="J818" t="b">
        <v>1</v>
      </c>
      <c r="K818">
        <v>6.035499733790317</v>
      </c>
      <c r="L818" t="b">
        <v>1</v>
      </c>
      <c r="M818" t="b">
        <v>1</v>
      </c>
    </row>
    <row r="819" spans="1:13">
      <c r="A819" t="s">
        <v>147</v>
      </c>
      <c r="B819" t="s">
        <v>138</v>
      </c>
      <c r="C819">
        <v>3.75</v>
      </c>
      <c r="D819">
        <v>1.875</v>
      </c>
      <c r="E819">
        <v>5.359298972023673E-06</v>
      </c>
      <c r="F819">
        <v>0</v>
      </c>
      <c r="G819">
        <v>5.35929903867112E-06</v>
      </c>
      <c r="H819">
        <v>0.0362868837404448</v>
      </c>
      <c r="I819">
        <v>1.875</v>
      </c>
      <c r="J819" t="b">
        <v>1</v>
      </c>
      <c r="K819">
        <v>5.994970678689526</v>
      </c>
      <c r="L819" t="b">
        <v>1</v>
      </c>
      <c r="M819" t="b">
        <v>1</v>
      </c>
    </row>
    <row r="820" spans="1:13">
      <c r="A820" t="s">
        <v>147</v>
      </c>
      <c r="B820" t="s">
        <v>139</v>
      </c>
      <c r="C820">
        <v>3.75</v>
      </c>
      <c r="D820">
        <v>1.875</v>
      </c>
      <c r="E820">
        <v>5.359298972023673E-06</v>
      </c>
      <c r="F820">
        <v>0</v>
      </c>
      <c r="G820">
        <v>5.35929903867112E-06</v>
      </c>
      <c r="H820">
        <v>0.0483564557626579</v>
      </c>
      <c r="I820">
        <v>1.875</v>
      </c>
      <c r="J820" t="b">
        <v>1</v>
      </c>
      <c r="K820">
        <v>5.954567064216221</v>
      </c>
      <c r="L820" t="b">
        <v>1</v>
      </c>
      <c r="M820" t="b">
        <v>1</v>
      </c>
    </row>
    <row r="821" spans="1:13">
      <c r="A821" t="s">
        <v>148</v>
      </c>
      <c r="B821" t="s">
        <v>116</v>
      </c>
      <c r="C821">
        <v>3.75</v>
      </c>
      <c r="D821">
        <v>1.875</v>
      </c>
      <c r="E821">
        <v>0.0002927753049188</v>
      </c>
      <c r="F821">
        <v>0</v>
      </c>
      <c r="G821">
        <v>0.0002927753049264</v>
      </c>
      <c r="H821">
        <v>0.0053940547346655</v>
      </c>
      <c r="I821">
        <v>0</v>
      </c>
      <c r="J821" t="b">
        <v>1</v>
      </c>
      <c r="K821">
        <v>7.774919882692188</v>
      </c>
      <c r="L821" t="b">
        <v>1</v>
      </c>
      <c r="M821" t="b">
        <v>1</v>
      </c>
    </row>
    <row r="822" spans="1:13">
      <c r="A822" t="s">
        <v>148</v>
      </c>
      <c r="B822" t="s">
        <v>117</v>
      </c>
      <c r="C822">
        <v>3.75</v>
      </c>
      <c r="D822">
        <v>1.875</v>
      </c>
      <c r="E822">
        <v>0.0002927753049188</v>
      </c>
      <c r="F822">
        <v>0</v>
      </c>
      <c r="G822">
        <v>0.0002927753049264</v>
      </c>
      <c r="H822">
        <v>0.0103574454774388</v>
      </c>
      <c r="I822">
        <v>0</v>
      </c>
      <c r="J822" t="b">
        <v>1</v>
      </c>
      <c r="K822">
        <v>7.760839160503963</v>
      </c>
      <c r="L822" t="b">
        <v>1</v>
      </c>
      <c r="M822" t="b">
        <v>1</v>
      </c>
    </row>
    <row r="823" spans="1:13">
      <c r="A823" t="s">
        <v>148</v>
      </c>
      <c r="B823" t="s">
        <v>118</v>
      </c>
      <c r="C823">
        <v>3.75</v>
      </c>
      <c r="D823">
        <v>1.875</v>
      </c>
      <c r="E823">
        <v>0.0002927753049186</v>
      </c>
      <c r="F823">
        <v>0</v>
      </c>
      <c r="G823">
        <v>0.0002927753049264</v>
      </c>
      <c r="H823">
        <v>0.0158795783318055</v>
      </c>
      <c r="I823">
        <v>0</v>
      </c>
      <c r="J823" t="b">
        <v>1</v>
      </c>
      <c r="K823">
        <v>7.728540414375118</v>
      </c>
      <c r="L823" t="b">
        <v>1</v>
      </c>
      <c r="M823" t="b">
        <v>1</v>
      </c>
    </row>
    <row r="824" spans="1:13">
      <c r="A824" t="s">
        <v>148</v>
      </c>
      <c r="B824" t="s">
        <v>119</v>
      </c>
      <c r="C824">
        <v>3.75</v>
      </c>
      <c r="D824">
        <v>1.875</v>
      </c>
      <c r="E824">
        <v>0.0002927753049188</v>
      </c>
      <c r="F824">
        <v>0</v>
      </c>
      <c r="G824">
        <v>0.0002927753049264</v>
      </c>
      <c r="H824">
        <v>0.0215293977911983</v>
      </c>
      <c r="I824">
        <v>0</v>
      </c>
      <c r="J824" t="b">
        <v>1</v>
      </c>
      <c r="K824">
        <v>7.700521659558035</v>
      </c>
      <c r="L824" t="b">
        <v>1</v>
      </c>
      <c r="M824" t="b">
        <v>1</v>
      </c>
    </row>
    <row r="825" spans="1:13">
      <c r="A825" t="s">
        <v>148</v>
      </c>
      <c r="B825" t="s">
        <v>120</v>
      </c>
      <c r="C825">
        <v>3.75</v>
      </c>
      <c r="D825">
        <v>1.875</v>
      </c>
      <c r="E825">
        <v>0.0002927753049188</v>
      </c>
      <c r="F825">
        <v>0</v>
      </c>
      <c r="G825">
        <v>0.0002927753049264</v>
      </c>
      <c r="H825">
        <v>0.0073613122454503</v>
      </c>
      <c r="I825">
        <v>0</v>
      </c>
      <c r="J825" t="b">
        <v>1</v>
      </c>
      <c r="K825">
        <v>6.983005333690073</v>
      </c>
      <c r="L825" t="b">
        <v>1</v>
      </c>
      <c r="M825" t="b">
        <v>1</v>
      </c>
    </row>
    <row r="826" spans="1:13">
      <c r="A826" t="s">
        <v>148</v>
      </c>
      <c r="B826" t="s">
        <v>121</v>
      </c>
      <c r="C826">
        <v>3.75</v>
      </c>
      <c r="D826">
        <v>1.875</v>
      </c>
      <c r="E826">
        <v>0.0002927753049188</v>
      </c>
      <c r="F826">
        <v>0</v>
      </c>
      <c r="G826">
        <v>0.0002927753049264</v>
      </c>
      <c r="H826">
        <v>0.0141542733291544</v>
      </c>
      <c r="I826">
        <v>1.875</v>
      </c>
      <c r="J826" t="b">
        <v>1</v>
      </c>
      <c r="K826">
        <v>6.960777736263424</v>
      </c>
      <c r="L826" t="b">
        <v>1</v>
      </c>
      <c r="M826" t="b">
        <v>1</v>
      </c>
    </row>
    <row r="827" spans="1:13">
      <c r="A827" t="s">
        <v>148</v>
      </c>
      <c r="B827" t="s">
        <v>122</v>
      </c>
      <c r="C827">
        <v>3.75</v>
      </c>
      <c r="D827">
        <v>1.875</v>
      </c>
      <c r="E827">
        <v>0.0002927753049188</v>
      </c>
      <c r="F827">
        <v>0</v>
      </c>
      <c r="G827">
        <v>0.0002927753049264</v>
      </c>
      <c r="H827">
        <v>0.0217946238871036</v>
      </c>
      <c r="I827">
        <v>0</v>
      </c>
      <c r="J827" t="b">
        <v>1</v>
      </c>
      <c r="K827">
        <v>6.927239823432529</v>
      </c>
      <c r="L827" t="b">
        <v>1</v>
      </c>
      <c r="M827" t="b">
        <v>1</v>
      </c>
    </row>
    <row r="828" spans="1:13">
      <c r="A828" t="s">
        <v>148</v>
      </c>
      <c r="B828" t="s">
        <v>123</v>
      </c>
      <c r="C828">
        <v>3.75</v>
      </c>
      <c r="D828">
        <v>1.875</v>
      </c>
      <c r="E828">
        <v>0.0002927753049188</v>
      </c>
      <c r="F828">
        <v>0</v>
      </c>
      <c r="G828">
        <v>0.0002927753049264</v>
      </c>
      <c r="H828">
        <v>0.0297191698600727</v>
      </c>
      <c r="I828">
        <v>0</v>
      </c>
      <c r="J828" t="b">
        <v>1</v>
      </c>
      <c r="K828">
        <v>6.895476328602967</v>
      </c>
      <c r="L828" t="b">
        <v>1</v>
      </c>
      <c r="M828" t="b">
        <v>1</v>
      </c>
    </row>
    <row r="829" spans="1:13">
      <c r="A829" t="s">
        <v>148</v>
      </c>
      <c r="B829" t="s">
        <v>124</v>
      </c>
      <c r="C829">
        <v>3.75</v>
      </c>
      <c r="D829">
        <v>1.875</v>
      </c>
      <c r="E829">
        <v>0.0002927753049556</v>
      </c>
      <c r="F829">
        <v>0</v>
      </c>
      <c r="G829">
        <v>0.0002927753049264</v>
      </c>
      <c r="H829">
        <v>0.0086816863663443</v>
      </c>
      <c r="I829">
        <v>1.875</v>
      </c>
      <c r="J829" t="b">
        <v>1</v>
      </c>
      <c r="K829">
        <v>6.512404662080939</v>
      </c>
      <c r="L829" t="b">
        <v>1</v>
      </c>
      <c r="M829" t="b">
        <v>1</v>
      </c>
    </row>
    <row r="830" spans="1:13">
      <c r="A830" t="s">
        <v>148</v>
      </c>
      <c r="B830" t="s">
        <v>125</v>
      </c>
      <c r="C830">
        <v>3.75</v>
      </c>
      <c r="D830">
        <v>1.875</v>
      </c>
      <c r="E830">
        <v>0.0002927753049556</v>
      </c>
      <c r="F830">
        <v>0</v>
      </c>
      <c r="G830">
        <v>0.0002927753049264</v>
      </c>
      <c r="H830">
        <v>0.0165449692032666</v>
      </c>
      <c r="I830">
        <v>1.875</v>
      </c>
      <c r="J830" t="b">
        <v>1</v>
      </c>
      <c r="K830">
        <v>6.478335486350772</v>
      </c>
      <c r="L830" t="b">
        <v>1</v>
      </c>
      <c r="M830" t="b">
        <v>1</v>
      </c>
    </row>
    <row r="831" spans="1:13">
      <c r="A831" t="s">
        <v>148</v>
      </c>
      <c r="B831" t="s">
        <v>126</v>
      </c>
      <c r="C831">
        <v>3.75</v>
      </c>
      <c r="D831">
        <v>1.875</v>
      </c>
      <c r="E831">
        <v>0.0002927753049556</v>
      </c>
      <c r="F831">
        <v>0</v>
      </c>
      <c r="G831">
        <v>0.0002927753049264</v>
      </c>
      <c r="H831">
        <v>0.0253309806348625</v>
      </c>
      <c r="I831">
        <v>1.875</v>
      </c>
      <c r="J831" t="b">
        <v>1</v>
      </c>
      <c r="K831">
        <v>6.444031471860967</v>
      </c>
      <c r="L831" t="b">
        <v>1</v>
      </c>
      <c r="M831" t="b">
        <v>1</v>
      </c>
    </row>
    <row r="832" spans="1:13">
      <c r="A832" t="s">
        <v>148</v>
      </c>
      <c r="B832" t="s">
        <v>127</v>
      </c>
      <c r="C832">
        <v>3.75</v>
      </c>
      <c r="D832">
        <v>1.875</v>
      </c>
      <c r="E832">
        <v>0.0002927753049556</v>
      </c>
      <c r="F832">
        <v>0</v>
      </c>
      <c r="G832">
        <v>0.0002927753049264</v>
      </c>
      <c r="H832">
        <v>0.034396111329471</v>
      </c>
      <c r="I832">
        <v>1.875</v>
      </c>
      <c r="J832" t="b">
        <v>1</v>
      </c>
      <c r="K832">
        <v>6.418834777178262</v>
      </c>
      <c r="L832" t="b">
        <v>1</v>
      </c>
      <c r="M832" t="b">
        <v>1</v>
      </c>
    </row>
    <row r="833" spans="1:13">
      <c r="A833" t="s">
        <v>148</v>
      </c>
      <c r="B833" t="s">
        <v>128</v>
      </c>
      <c r="C833">
        <v>3.75</v>
      </c>
      <c r="D833">
        <v>1.875</v>
      </c>
      <c r="E833">
        <v>0.0002927753049556</v>
      </c>
      <c r="F833">
        <v>0</v>
      </c>
      <c r="G833">
        <v>0.0002927753049264</v>
      </c>
      <c r="H833">
        <v>0.009705481506387</v>
      </c>
      <c r="I833">
        <v>1.875</v>
      </c>
      <c r="J833" t="b">
        <v>1</v>
      </c>
      <c r="K833">
        <v>6.175160732645679</v>
      </c>
      <c r="L833" t="b">
        <v>1</v>
      </c>
      <c r="M833" t="b">
        <v>1</v>
      </c>
    </row>
    <row r="834" spans="1:13">
      <c r="A834" t="s">
        <v>148</v>
      </c>
      <c r="B834" t="s">
        <v>129</v>
      </c>
      <c r="C834">
        <v>3.75</v>
      </c>
      <c r="D834">
        <v>1.875</v>
      </c>
      <c r="E834">
        <v>0.0003001973536978</v>
      </c>
      <c r="F834">
        <v>0</v>
      </c>
      <c r="G834">
        <v>0.0002927753049264</v>
      </c>
      <c r="H834">
        <v>0.0183539816640063</v>
      </c>
      <c r="I834">
        <v>0</v>
      </c>
      <c r="J834" t="b">
        <v>1</v>
      </c>
      <c r="K834">
        <v>6.135334853142638</v>
      </c>
      <c r="L834" t="b">
        <v>1</v>
      </c>
      <c r="M834" t="b">
        <v>1</v>
      </c>
    </row>
    <row r="835" spans="1:13">
      <c r="A835" t="s">
        <v>148</v>
      </c>
      <c r="B835" t="s">
        <v>130</v>
      </c>
      <c r="C835">
        <v>3.75</v>
      </c>
      <c r="D835">
        <v>1.875</v>
      </c>
      <c r="E835">
        <v>0.0004002925169961</v>
      </c>
      <c r="F835">
        <v>0</v>
      </c>
      <c r="G835">
        <v>0.0002927753049264</v>
      </c>
      <c r="H835">
        <v>0.0278908514408442</v>
      </c>
      <c r="I835">
        <v>1.875</v>
      </c>
      <c r="J835" t="b">
        <v>1</v>
      </c>
      <c r="K835">
        <v>6.099104644843578</v>
      </c>
      <c r="L835" t="b">
        <v>1</v>
      </c>
      <c r="M835" t="b">
        <v>1</v>
      </c>
    </row>
    <row r="836" spans="1:13">
      <c r="A836" t="s">
        <v>148</v>
      </c>
      <c r="B836" t="s">
        <v>131</v>
      </c>
      <c r="C836">
        <v>3.75</v>
      </c>
      <c r="D836">
        <v>1.875</v>
      </c>
      <c r="E836">
        <v>0.0003262696669765</v>
      </c>
      <c r="F836">
        <v>0</v>
      </c>
      <c r="G836">
        <v>0.0002927753049264</v>
      </c>
      <c r="H836">
        <v>0.037583462238274</v>
      </c>
      <c r="I836">
        <v>1.875</v>
      </c>
      <c r="J836" t="b">
        <v>1</v>
      </c>
      <c r="K836">
        <v>6.075591376007594</v>
      </c>
      <c r="L836" t="b">
        <v>1</v>
      </c>
      <c r="M836" t="b">
        <v>1</v>
      </c>
    </row>
    <row r="837" spans="1:13">
      <c r="A837" t="s">
        <v>148</v>
      </c>
      <c r="B837" t="s">
        <v>132</v>
      </c>
      <c r="C837">
        <v>3.75</v>
      </c>
      <c r="D837">
        <v>1.875</v>
      </c>
      <c r="E837">
        <v>0.0009482945751801</v>
      </c>
      <c r="F837">
        <v>0</v>
      </c>
      <c r="G837">
        <v>0.0002927753049264</v>
      </c>
      <c r="H837">
        <v>0.0105425215631953</v>
      </c>
      <c r="I837">
        <v>1.875</v>
      </c>
      <c r="J837" t="b">
        <v>1</v>
      </c>
      <c r="K837">
        <v>5.911447486180066</v>
      </c>
      <c r="L837" t="b">
        <v>1</v>
      </c>
      <c r="M837" t="b">
        <v>1</v>
      </c>
    </row>
    <row r="838" spans="1:13">
      <c r="A838" t="s">
        <v>148</v>
      </c>
      <c r="B838" t="s">
        <v>133</v>
      </c>
      <c r="C838">
        <v>3.75</v>
      </c>
      <c r="D838">
        <v>1.875</v>
      </c>
      <c r="E838">
        <v>0.0009885625818942</v>
      </c>
      <c r="F838">
        <v>0</v>
      </c>
      <c r="G838">
        <v>0.0002927753049264</v>
      </c>
      <c r="H838">
        <v>0.0198356342071974</v>
      </c>
      <c r="I838">
        <v>1.875</v>
      </c>
      <c r="J838" t="b">
        <v>1</v>
      </c>
      <c r="K838">
        <v>5.872347867699546</v>
      </c>
      <c r="L838" t="b">
        <v>1</v>
      </c>
      <c r="M838" t="b">
        <v>1</v>
      </c>
    </row>
    <row r="839" spans="1:13">
      <c r="A839" t="s">
        <v>148</v>
      </c>
      <c r="B839" t="s">
        <v>134</v>
      </c>
      <c r="C839">
        <v>3.75</v>
      </c>
      <c r="D839">
        <v>1.875</v>
      </c>
      <c r="E839">
        <v>0.0006952731267287</v>
      </c>
      <c r="F839">
        <v>0</v>
      </c>
      <c r="G839">
        <v>0.0002927753049264</v>
      </c>
      <c r="H839">
        <v>0.0299118031658167</v>
      </c>
      <c r="I839">
        <v>0</v>
      </c>
      <c r="J839" t="b">
        <v>1</v>
      </c>
      <c r="K839">
        <v>5.834814348181538</v>
      </c>
      <c r="L839" t="b">
        <v>1</v>
      </c>
      <c r="M839" t="b">
        <v>1</v>
      </c>
    </row>
    <row r="840" spans="1:13">
      <c r="A840" t="s">
        <v>148</v>
      </c>
      <c r="B840" t="s">
        <v>135</v>
      </c>
      <c r="C840">
        <v>3.75</v>
      </c>
      <c r="D840">
        <v>1.875</v>
      </c>
      <c r="E840">
        <v>0.0003379997660081</v>
      </c>
      <c r="F840">
        <v>0</v>
      </c>
      <c r="G840">
        <v>0.0002927753049264</v>
      </c>
      <c r="H840">
        <v>0.0399240574631107</v>
      </c>
      <c r="I840">
        <v>1.875</v>
      </c>
      <c r="J840" t="b">
        <v>1</v>
      </c>
      <c r="K840">
        <v>5.809086118944862</v>
      </c>
      <c r="L840" t="b">
        <v>1</v>
      </c>
      <c r="M840" t="b">
        <v>1</v>
      </c>
    </row>
    <row r="841" spans="1:13">
      <c r="A841" t="s">
        <v>148</v>
      </c>
      <c r="B841" t="s">
        <v>136</v>
      </c>
      <c r="C841">
        <v>3.75</v>
      </c>
      <c r="D841">
        <v>1.875</v>
      </c>
      <c r="E841">
        <v>0.000734375702863</v>
      </c>
      <c r="F841">
        <v>0</v>
      </c>
      <c r="G841">
        <v>0.0002927753049264</v>
      </c>
      <c r="H841">
        <v>0.0112532728880694</v>
      </c>
      <c r="I841">
        <v>0</v>
      </c>
      <c r="J841" t="b">
        <v>1</v>
      </c>
      <c r="K841">
        <v>5.694873078901708</v>
      </c>
      <c r="L841" t="b">
        <v>1</v>
      </c>
      <c r="M841" t="b">
        <v>1</v>
      </c>
    </row>
    <row r="842" spans="1:13">
      <c r="A842" t="s">
        <v>148</v>
      </c>
      <c r="B842" t="s">
        <v>137</v>
      </c>
      <c r="C842">
        <v>3.75</v>
      </c>
      <c r="D842">
        <v>1.875</v>
      </c>
      <c r="E842">
        <v>0.0007416056582055</v>
      </c>
      <c r="F842">
        <v>0</v>
      </c>
      <c r="G842">
        <v>0.0002927753049264</v>
      </c>
      <c r="H842">
        <v>0.0210466850174668</v>
      </c>
      <c r="I842">
        <v>0</v>
      </c>
      <c r="J842" t="b">
        <v>1</v>
      </c>
      <c r="K842">
        <v>5.655132144940467</v>
      </c>
      <c r="L842" t="b">
        <v>1</v>
      </c>
      <c r="M842" t="b">
        <v>1</v>
      </c>
    </row>
    <row r="843" spans="1:13">
      <c r="A843" t="s">
        <v>148</v>
      </c>
      <c r="B843" t="s">
        <v>138</v>
      </c>
      <c r="C843">
        <v>3.75</v>
      </c>
      <c r="D843">
        <v>1.875</v>
      </c>
      <c r="E843">
        <v>0.0007610771773708</v>
      </c>
      <c r="F843">
        <v>0</v>
      </c>
      <c r="G843">
        <v>0.0002927753049264</v>
      </c>
      <c r="H843">
        <v>0.0314516584442685</v>
      </c>
      <c r="I843">
        <v>0</v>
      </c>
      <c r="J843" t="b">
        <v>1</v>
      </c>
      <c r="K843">
        <v>5.612839654803281</v>
      </c>
      <c r="L843" t="b">
        <v>1</v>
      </c>
      <c r="M843" t="b">
        <v>1</v>
      </c>
    </row>
    <row r="844" spans="1:13">
      <c r="A844" t="s">
        <v>148</v>
      </c>
      <c r="B844" t="s">
        <v>139</v>
      </c>
      <c r="C844">
        <v>3.75</v>
      </c>
      <c r="D844">
        <v>1.875</v>
      </c>
      <c r="E844">
        <v>0.0008033485486147</v>
      </c>
      <c r="F844">
        <v>0</v>
      </c>
      <c r="G844">
        <v>0.0002927753049264</v>
      </c>
      <c r="H844">
        <v>0.041642659905591</v>
      </c>
      <c r="I844">
        <v>0</v>
      </c>
      <c r="J844" t="b">
        <v>1</v>
      </c>
      <c r="K844">
        <v>5.590111184289626</v>
      </c>
      <c r="L844" t="b">
        <v>1</v>
      </c>
      <c r="M844" t="b">
        <v>1</v>
      </c>
    </row>
    <row r="845" spans="1:13">
      <c r="A845" t="s">
        <v>149</v>
      </c>
      <c r="B845" t="s">
        <v>116</v>
      </c>
      <c r="C845">
        <v>3.75</v>
      </c>
      <c r="D845">
        <v>1.875</v>
      </c>
      <c r="E845">
        <v>0.0003879720135456</v>
      </c>
      <c r="F845">
        <v>0</v>
      </c>
      <c r="G845">
        <v>0.0003879720135461</v>
      </c>
      <c r="H845">
        <v>0.0061223849547218</v>
      </c>
      <c r="I845">
        <v>0</v>
      </c>
      <c r="J845" t="b">
        <v>1</v>
      </c>
      <c r="K845">
        <v>8.389391398972634</v>
      </c>
      <c r="L845" t="b">
        <v>1</v>
      </c>
      <c r="M845" t="b">
        <v>1</v>
      </c>
    </row>
    <row r="846" spans="1:13">
      <c r="A846" t="s">
        <v>149</v>
      </c>
      <c r="B846" t="s">
        <v>117</v>
      </c>
      <c r="C846">
        <v>3.75</v>
      </c>
      <c r="D846">
        <v>1.875</v>
      </c>
      <c r="E846">
        <v>0.0003879720135456</v>
      </c>
      <c r="F846">
        <v>0</v>
      </c>
      <c r="G846">
        <v>0.0003879720135461</v>
      </c>
      <c r="H846">
        <v>0.0118745985200234</v>
      </c>
      <c r="I846">
        <v>0</v>
      </c>
      <c r="J846" t="b">
        <v>1</v>
      </c>
      <c r="K846">
        <v>8.381350765814943</v>
      </c>
      <c r="L846" t="b">
        <v>1</v>
      </c>
      <c r="M846" t="b">
        <v>1</v>
      </c>
    </row>
    <row r="847" spans="1:13">
      <c r="A847" t="s">
        <v>149</v>
      </c>
      <c r="B847" t="s">
        <v>118</v>
      </c>
      <c r="C847">
        <v>3.75</v>
      </c>
      <c r="D847">
        <v>1.875</v>
      </c>
      <c r="E847">
        <v>0.0003879720135455</v>
      </c>
      <c r="F847">
        <v>0</v>
      </c>
      <c r="G847">
        <v>0.0003879720135461</v>
      </c>
      <c r="H847">
        <v>0.0183793941916405</v>
      </c>
      <c r="I847">
        <v>1.875</v>
      </c>
      <c r="J847" t="b">
        <v>1</v>
      </c>
      <c r="K847">
        <v>8.351509898015763</v>
      </c>
      <c r="L847" t="b">
        <v>1</v>
      </c>
      <c r="M847" t="b">
        <v>1</v>
      </c>
    </row>
    <row r="848" spans="1:13">
      <c r="A848" t="s">
        <v>149</v>
      </c>
      <c r="B848" t="s">
        <v>119</v>
      </c>
      <c r="C848">
        <v>3.75</v>
      </c>
      <c r="D848">
        <v>1.875</v>
      </c>
      <c r="E848">
        <v>0.0003879720135456</v>
      </c>
      <c r="F848">
        <v>0</v>
      </c>
      <c r="G848">
        <v>0.0003879720135461</v>
      </c>
      <c r="H848">
        <v>0.025093965554106</v>
      </c>
      <c r="I848">
        <v>0</v>
      </c>
      <c r="J848" t="b">
        <v>1</v>
      </c>
      <c r="K848">
        <v>8.318121154584901</v>
      </c>
      <c r="L848" t="b">
        <v>1</v>
      </c>
      <c r="M848" t="b">
        <v>1</v>
      </c>
    </row>
    <row r="849" spans="1:13">
      <c r="A849" t="s">
        <v>149</v>
      </c>
      <c r="B849" t="s">
        <v>120</v>
      </c>
      <c r="C849">
        <v>3.75</v>
      </c>
      <c r="D849">
        <v>1.875</v>
      </c>
      <c r="E849">
        <v>0.0003879720135456</v>
      </c>
      <c r="F849">
        <v>0</v>
      </c>
      <c r="G849">
        <v>0.0003879720135461</v>
      </c>
      <c r="H849">
        <v>0.0084682355858944</v>
      </c>
      <c r="I849">
        <v>0</v>
      </c>
      <c r="J849" t="b">
        <v>1</v>
      </c>
      <c r="K849">
        <v>7.603087681590637</v>
      </c>
      <c r="L849" t="b">
        <v>1</v>
      </c>
      <c r="M849" t="b">
        <v>1</v>
      </c>
    </row>
    <row r="850" spans="1:13">
      <c r="A850" t="s">
        <v>149</v>
      </c>
      <c r="B850" t="s">
        <v>121</v>
      </c>
      <c r="C850">
        <v>3.75</v>
      </c>
      <c r="D850">
        <v>1.875</v>
      </c>
      <c r="E850">
        <v>0.0003879720135456</v>
      </c>
      <c r="F850">
        <v>0</v>
      </c>
      <c r="G850">
        <v>0.0003879720135461</v>
      </c>
      <c r="H850">
        <v>0.0165232727163697</v>
      </c>
      <c r="I850">
        <v>1.875</v>
      </c>
      <c r="J850" t="b">
        <v>1</v>
      </c>
      <c r="K850">
        <v>7.584325280294024</v>
      </c>
      <c r="L850" t="b">
        <v>1</v>
      </c>
      <c r="M850" t="b">
        <v>1</v>
      </c>
    </row>
    <row r="851" spans="1:13">
      <c r="A851" t="s">
        <v>149</v>
      </c>
      <c r="B851" t="s">
        <v>122</v>
      </c>
      <c r="C851">
        <v>3.75</v>
      </c>
      <c r="D851">
        <v>1.875</v>
      </c>
      <c r="E851">
        <v>0.0003879720135456</v>
      </c>
      <c r="F851">
        <v>0</v>
      </c>
      <c r="G851">
        <v>0.0003879720135461</v>
      </c>
      <c r="H851">
        <v>0.0257814943657308</v>
      </c>
      <c r="I851">
        <v>0</v>
      </c>
      <c r="J851" t="b">
        <v>1</v>
      </c>
      <c r="K851">
        <v>7.548929763913748</v>
      </c>
      <c r="L851" t="b">
        <v>1</v>
      </c>
      <c r="M851" t="b">
        <v>1</v>
      </c>
    </row>
    <row r="852" spans="1:13">
      <c r="A852" t="s">
        <v>149</v>
      </c>
      <c r="B852" t="s">
        <v>123</v>
      </c>
      <c r="C852">
        <v>3.75</v>
      </c>
      <c r="D852">
        <v>1.875</v>
      </c>
      <c r="E852">
        <v>0.0003879720135456</v>
      </c>
      <c r="F852">
        <v>0</v>
      </c>
      <c r="G852">
        <v>0.0003879720135461</v>
      </c>
      <c r="H852">
        <v>0.0356277838927781</v>
      </c>
      <c r="I852">
        <v>0</v>
      </c>
      <c r="J852" t="b">
        <v>1</v>
      </c>
      <c r="K852">
        <v>7.518079449501869</v>
      </c>
      <c r="L852" t="b">
        <v>1</v>
      </c>
      <c r="M852" t="b">
        <v>1</v>
      </c>
    </row>
    <row r="853" spans="1:13">
      <c r="A853" t="s">
        <v>149</v>
      </c>
      <c r="B853" t="s">
        <v>124</v>
      </c>
      <c r="C853">
        <v>3.75</v>
      </c>
      <c r="D853">
        <v>1.875</v>
      </c>
      <c r="E853">
        <v>0.0003879720135348</v>
      </c>
      <c r="F853">
        <v>0</v>
      </c>
      <c r="G853">
        <v>0.0003879720135461</v>
      </c>
      <c r="H853">
        <v>0.0101154625223784</v>
      </c>
      <c r="I853">
        <v>0</v>
      </c>
      <c r="J853" t="b">
        <v>1</v>
      </c>
      <c r="K853">
        <v>7.133785120490188</v>
      </c>
      <c r="L853" t="b">
        <v>1</v>
      </c>
      <c r="M853" t="b">
        <v>1</v>
      </c>
    </row>
    <row r="854" spans="1:13">
      <c r="A854" t="s">
        <v>149</v>
      </c>
      <c r="B854" t="s">
        <v>125</v>
      </c>
      <c r="C854">
        <v>3.75</v>
      </c>
      <c r="D854">
        <v>1.875</v>
      </c>
      <c r="E854">
        <v>0.0003879720135348</v>
      </c>
      <c r="F854">
        <v>0</v>
      </c>
      <c r="G854">
        <v>0.0003879720135461</v>
      </c>
      <c r="H854">
        <v>0.0196695941007192</v>
      </c>
      <c r="I854">
        <v>1.875</v>
      </c>
      <c r="J854" t="b">
        <v>1</v>
      </c>
      <c r="K854">
        <v>7.105136278740076</v>
      </c>
      <c r="L854" t="b">
        <v>1</v>
      </c>
      <c r="M854" t="b">
        <v>1</v>
      </c>
    </row>
    <row r="855" spans="1:13">
      <c r="A855" t="s">
        <v>149</v>
      </c>
      <c r="B855" t="s">
        <v>126</v>
      </c>
      <c r="C855">
        <v>3.75</v>
      </c>
      <c r="D855">
        <v>1.875</v>
      </c>
      <c r="E855">
        <v>0.0003879720135348</v>
      </c>
      <c r="F855">
        <v>0</v>
      </c>
      <c r="G855">
        <v>0.0003879720135461</v>
      </c>
      <c r="H855">
        <v>0.0306321921526091</v>
      </c>
      <c r="I855">
        <v>1.875</v>
      </c>
      <c r="J855" t="b">
        <v>1</v>
      </c>
      <c r="K855">
        <v>7.067796694310857</v>
      </c>
      <c r="L855" t="b">
        <v>1</v>
      </c>
      <c r="M855" t="b">
        <v>1</v>
      </c>
    </row>
    <row r="856" spans="1:13">
      <c r="A856" t="s">
        <v>149</v>
      </c>
      <c r="B856" t="s">
        <v>127</v>
      </c>
      <c r="C856">
        <v>3.75</v>
      </c>
      <c r="D856">
        <v>1.875</v>
      </c>
      <c r="E856">
        <v>0.0003879720135348</v>
      </c>
      <c r="F856">
        <v>0</v>
      </c>
      <c r="G856">
        <v>0.0003879720135461</v>
      </c>
      <c r="H856">
        <v>0.0422250393589536</v>
      </c>
      <c r="I856">
        <v>0</v>
      </c>
      <c r="J856" t="b">
        <v>1</v>
      </c>
      <c r="K856">
        <v>7.036109153808923</v>
      </c>
      <c r="L856" t="b">
        <v>1</v>
      </c>
      <c r="M856" t="b">
        <v>1</v>
      </c>
    </row>
    <row r="857" spans="1:13">
      <c r="A857" t="s">
        <v>149</v>
      </c>
      <c r="B857" t="s">
        <v>128</v>
      </c>
      <c r="C857">
        <v>3.75</v>
      </c>
      <c r="D857">
        <v>1.875</v>
      </c>
      <c r="E857">
        <v>0.0003879720135348</v>
      </c>
      <c r="F857">
        <v>0</v>
      </c>
      <c r="G857">
        <v>0.0003879720135461</v>
      </c>
      <c r="H857">
        <v>0.0114310807580295</v>
      </c>
      <c r="I857">
        <v>1.875</v>
      </c>
      <c r="J857" t="b">
        <v>1</v>
      </c>
      <c r="K857">
        <v>6.797163804094453</v>
      </c>
      <c r="L857" t="b">
        <v>1</v>
      </c>
      <c r="M857" t="b">
        <v>1</v>
      </c>
    </row>
    <row r="858" spans="1:13">
      <c r="A858" t="s">
        <v>149</v>
      </c>
      <c r="B858" t="s">
        <v>129</v>
      </c>
      <c r="C858">
        <v>3.75</v>
      </c>
      <c r="D858">
        <v>1.875</v>
      </c>
      <c r="E858">
        <v>0.0003879720135348</v>
      </c>
      <c r="F858">
        <v>0</v>
      </c>
      <c r="G858">
        <v>0.0003879720135461</v>
      </c>
      <c r="H858">
        <v>0.0221628772525832</v>
      </c>
      <c r="I858">
        <v>0</v>
      </c>
      <c r="J858" t="b">
        <v>1</v>
      </c>
      <c r="K858">
        <v>6.765755154614794</v>
      </c>
      <c r="L858" t="b">
        <v>1</v>
      </c>
      <c r="M858" t="b">
        <v>1</v>
      </c>
    </row>
    <row r="859" spans="1:13">
      <c r="A859" t="s">
        <v>149</v>
      </c>
      <c r="B859" t="s">
        <v>130</v>
      </c>
      <c r="C859">
        <v>3.75</v>
      </c>
      <c r="D859">
        <v>1.875</v>
      </c>
      <c r="E859">
        <v>0.0003879720135348</v>
      </c>
      <c r="F859">
        <v>0</v>
      </c>
      <c r="G859">
        <v>0.0003879720135461</v>
      </c>
      <c r="H859">
        <v>0.0343711167371623</v>
      </c>
      <c r="I859">
        <v>0</v>
      </c>
      <c r="J859" t="b">
        <v>1</v>
      </c>
      <c r="K859">
        <v>6.724123968890439</v>
      </c>
      <c r="L859" t="b">
        <v>1</v>
      </c>
      <c r="M859" t="b">
        <v>1</v>
      </c>
    </row>
    <row r="860" spans="1:13">
      <c r="A860" t="s">
        <v>149</v>
      </c>
      <c r="B860" t="s">
        <v>131</v>
      </c>
      <c r="C860">
        <v>3.75</v>
      </c>
      <c r="D860">
        <v>1.875</v>
      </c>
      <c r="E860">
        <v>0.0003879720135348</v>
      </c>
      <c r="F860">
        <v>0</v>
      </c>
      <c r="G860">
        <v>0.0003879720135461</v>
      </c>
      <c r="H860">
        <v>0.0471109615937734</v>
      </c>
      <c r="I860">
        <v>1.875</v>
      </c>
      <c r="J860" t="b">
        <v>1</v>
      </c>
      <c r="K860">
        <v>6.686296975461659</v>
      </c>
      <c r="L860" t="b">
        <v>1</v>
      </c>
      <c r="M860" t="b">
        <v>1</v>
      </c>
    </row>
    <row r="861" spans="1:13">
      <c r="A861" t="s">
        <v>149</v>
      </c>
      <c r="B861" t="s">
        <v>132</v>
      </c>
      <c r="C861">
        <v>3.75</v>
      </c>
      <c r="D861">
        <v>1.875</v>
      </c>
      <c r="E861">
        <v>0.0003879720135783</v>
      </c>
      <c r="F861">
        <v>0</v>
      </c>
      <c r="G861">
        <v>0.0003879720135461</v>
      </c>
      <c r="H861">
        <v>0.0125473875461068</v>
      </c>
      <c r="I861">
        <v>1.875</v>
      </c>
      <c r="J861" t="b">
        <v>1</v>
      </c>
      <c r="K861">
        <v>6.534989581398065</v>
      </c>
      <c r="L861" t="b">
        <v>1</v>
      </c>
      <c r="M861" t="b">
        <v>1</v>
      </c>
    </row>
    <row r="862" spans="1:13">
      <c r="A862" t="s">
        <v>149</v>
      </c>
      <c r="B862" t="s">
        <v>133</v>
      </c>
      <c r="C862">
        <v>3.75</v>
      </c>
      <c r="D862">
        <v>1.875</v>
      </c>
      <c r="E862">
        <v>0.0003879720135783</v>
      </c>
      <c r="F862">
        <v>0</v>
      </c>
      <c r="G862">
        <v>0.0003879720135461</v>
      </c>
      <c r="H862">
        <v>0.0242067669736343</v>
      </c>
      <c r="I862">
        <v>0</v>
      </c>
      <c r="J862" t="b">
        <v>1</v>
      </c>
      <c r="K862">
        <v>6.494937785764421</v>
      </c>
      <c r="L862" t="b">
        <v>1</v>
      </c>
      <c r="M862" t="b">
        <v>1</v>
      </c>
    </row>
    <row r="863" spans="1:13">
      <c r="A863" t="s">
        <v>149</v>
      </c>
      <c r="B863" t="s">
        <v>134</v>
      </c>
      <c r="C863">
        <v>3.75</v>
      </c>
      <c r="D863">
        <v>1.875</v>
      </c>
      <c r="E863">
        <v>0.0003879720135783</v>
      </c>
      <c r="F863">
        <v>0</v>
      </c>
      <c r="G863">
        <v>0.0003879720135461</v>
      </c>
      <c r="H863">
        <v>0.0374314984146906</v>
      </c>
      <c r="I863">
        <v>0</v>
      </c>
      <c r="J863" t="b">
        <v>1</v>
      </c>
      <c r="K863">
        <v>6.452886275368996</v>
      </c>
      <c r="L863" t="b">
        <v>1</v>
      </c>
      <c r="M863" t="b">
        <v>1</v>
      </c>
    </row>
    <row r="864" spans="1:13">
      <c r="A864" t="s">
        <v>149</v>
      </c>
      <c r="B864" t="s">
        <v>135</v>
      </c>
      <c r="C864">
        <v>3.75</v>
      </c>
      <c r="D864">
        <v>1.875</v>
      </c>
      <c r="E864">
        <v>0.0003879720135783</v>
      </c>
      <c r="F864">
        <v>0</v>
      </c>
      <c r="G864">
        <v>0.0003879720135461</v>
      </c>
      <c r="H864">
        <v>0.0511789091169703</v>
      </c>
      <c r="I864">
        <v>1.875</v>
      </c>
      <c r="J864" t="b">
        <v>1</v>
      </c>
      <c r="K864">
        <v>6.416841683475383</v>
      </c>
      <c r="L864" t="b">
        <v>1</v>
      </c>
      <c r="M864" t="b">
        <v>1</v>
      </c>
    </row>
    <row r="865" spans="1:13">
      <c r="A865" t="s">
        <v>149</v>
      </c>
      <c r="B865" t="s">
        <v>136</v>
      </c>
      <c r="C865">
        <v>3.75</v>
      </c>
      <c r="D865">
        <v>1.875</v>
      </c>
      <c r="E865">
        <v>0.0003879720135783</v>
      </c>
      <c r="F865">
        <v>0</v>
      </c>
      <c r="G865">
        <v>0.0003879720135461</v>
      </c>
      <c r="H865">
        <v>0.0135322829755466</v>
      </c>
      <c r="I865">
        <v>0</v>
      </c>
      <c r="J865" t="b">
        <v>1</v>
      </c>
      <c r="K865">
        <v>6.320979866616483</v>
      </c>
      <c r="L865" t="b">
        <v>1</v>
      </c>
      <c r="M865" t="b">
        <v>1</v>
      </c>
    </row>
    <row r="866" spans="1:13">
      <c r="A866" t="s">
        <v>149</v>
      </c>
      <c r="B866" t="s">
        <v>137</v>
      </c>
      <c r="C866">
        <v>3.75</v>
      </c>
      <c r="D866">
        <v>1.875</v>
      </c>
      <c r="E866">
        <v>0.0003879720135783</v>
      </c>
      <c r="F866">
        <v>0</v>
      </c>
      <c r="G866">
        <v>0.0003879720135461</v>
      </c>
      <c r="H866">
        <v>0.0260205229100165</v>
      </c>
      <c r="I866">
        <v>0</v>
      </c>
      <c r="J866" t="b">
        <v>1</v>
      </c>
      <c r="K866">
        <v>6.276460839067255</v>
      </c>
      <c r="L866" t="b">
        <v>1</v>
      </c>
      <c r="M866" t="b">
        <v>1</v>
      </c>
    </row>
    <row r="867" spans="1:13">
      <c r="A867" t="s">
        <v>149</v>
      </c>
      <c r="B867" t="s">
        <v>138</v>
      </c>
      <c r="C867">
        <v>3.75</v>
      </c>
      <c r="D867">
        <v>1.875</v>
      </c>
      <c r="E867">
        <v>0.0003879720135783</v>
      </c>
      <c r="F867">
        <v>0</v>
      </c>
      <c r="G867">
        <v>0.0003879720135461</v>
      </c>
      <c r="H867">
        <v>0.04014797504297</v>
      </c>
      <c r="I867">
        <v>1.875</v>
      </c>
      <c r="J867" t="b">
        <v>1</v>
      </c>
      <c r="K867">
        <v>6.234822448220001</v>
      </c>
      <c r="L867" t="b">
        <v>1</v>
      </c>
      <c r="M867" t="b">
        <v>1</v>
      </c>
    </row>
    <row r="868" spans="1:13">
      <c r="A868" t="s">
        <v>149</v>
      </c>
      <c r="B868" t="s">
        <v>139</v>
      </c>
      <c r="C868">
        <v>3.75</v>
      </c>
      <c r="D868">
        <v>1.875</v>
      </c>
      <c r="E868">
        <v>0.0003879720135783</v>
      </c>
      <c r="F868">
        <v>0</v>
      </c>
      <c r="G868">
        <v>0.0003879720135461</v>
      </c>
      <c r="H868">
        <v>0.0547139974488573</v>
      </c>
      <c r="I868">
        <v>1.875</v>
      </c>
      <c r="J868" t="b">
        <v>1</v>
      </c>
      <c r="K868">
        <v>6.198689263056067</v>
      </c>
      <c r="L868" t="b">
        <v>1</v>
      </c>
      <c r="M868" t="b">
        <v>1</v>
      </c>
    </row>
  </sheetData>
  <autoFilter ref="A4:M868"/>
  <mergeCells count="2">
    <mergeCell ref="A1:J1"/>
    <mergeCell ref="A2:J2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10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2" t="s">
        <v>176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5" t="s">
        <v>177</v>
      </c>
      <c r="B4" s="5" t="s">
        <v>178</v>
      </c>
      <c r="C4" s="5" t="s">
        <v>179</v>
      </c>
      <c r="D4" s="5" t="s">
        <v>180</v>
      </c>
      <c r="E4" s="5" t="s">
        <v>181</v>
      </c>
    </row>
    <row r="5" spans="1:10">
      <c r="A5" t="s">
        <v>182</v>
      </c>
      <c r="B5" t="s">
        <v>183</v>
      </c>
      <c r="C5" s="6" t="s">
        <v>184</v>
      </c>
      <c r="D5" t="s">
        <v>185</v>
      </c>
      <c r="E5" t="s">
        <v>186</v>
      </c>
    </row>
    <row r="6" spans="1:10">
      <c r="A6" t="s">
        <v>187</v>
      </c>
      <c r="B6" t="s">
        <v>188</v>
      </c>
      <c r="C6" s="6" t="s">
        <v>189</v>
      </c>
      <c r="D6" t="s">
        <v>185</v>
      </c>
      <c r="E6" t="s">
        <v>190</v>
      </c>
    </row>
    <row r="7" spans="1:10">
      <c r="A7" t="s">
        <v>191</v>
      </c>
      <c r="B7" t="s">
        <v>192</v>
      </c>
      <c r="C7" s="6" t="s">
        <v>193</v>
      </c>
      <c r="D7" t="s">
        <v>185</v>
      </c>
      <c r="E7" t="s">
        <v>194</v>
      </c>
    </row>
    <row r="8" spans="1:10">
      <c r="A8" t="s">
        <v>195</v>
      </c>
      <c r="B8" t="s">
        <v>196</v>
      </c>
      <c r="C8" s="6" t="s">
        <v>197</v>
      </c>
      <c r="D8" t="s">
        <v>185</v>
      </c>
      <c r="E8" t="s">
        <v>198</v>
      </c>
    </row>
    <row r="9" spans="1:10">
      <c r="A9" t="s">
        <v>199</v>
      </c>
      <c r="B9" t="s">
        <v>200</v>
      </c>
      <c r="C9" s="6" t="s">
        <v>201</v>
      </c>
      <c r="D9" t="s">
        <v>185</v>
      </c>
      <c r="E9" t="s">
        <v>202</v>
      </c>
    </row>
    <row r="10" spans="1:10">
      <c r="A10" t="s">
        <v>203</v>
      </c>
      <c r="B10" t="s">
        <v>204</v>
      </c>
      <c r="C10" s="6" t="s">
        <v>205</v>
      </c>
      <c r="D10" t="s">
        <v>185</v>
      </c>
      <c r="E10" t="s">
        <v>206</v>
      </c>
    </row>
  </sheetData>
  <autoFilter ref="A4:E10"/>
  <mergeCells count="2">
    <mergeCell ref="A1:J1"/>
    <mergeCell ref="A2:J2"/>
  </mergeCells>
  <hyperlinks>
    <hyperlink ref="C5" r:id="rId1"/>
    <hyperlink ref="C6" r:id="rId2"/>
    <hyperlink ref="C7" r:id="rId3"/>
    <hyperlink ref="C8" r:id="rId4"/>
    <hyperlink ref="C9" r:id="rId5"/>
    <hyperlink ref="C10" r:id="rId6"/>
  </hyperlink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Runoff checks</vt:lpstr>
      <vt:lpstr>Storage check</vt:lpstr>
      <vt:lpstr>Implicit step</vt:lpstr>
      <vt:lpstr>Scenarios</vt:lpstr>
      <vt:lpstr>Design selection</vt:lpstr>
      <vt:lpstr>Sensitivity</vt:lpstr>
      <vt:lpstr>Convergence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Stormwater detention calculations</dc:title>
  <dc:creator>Codex-assisted conceptual study</dc:creator>
  <dc:description>Synthetic event study. Independent formula checks are separate from imported scenario results.</dc:description>
  <cp:lastModifiedBy>Codex-assisted conceptual study</cp:lastModifiedBy>
  <dcterms:created xsi:type="dcterms:W3CDTF">2026-09-08T21:44:12Z</dcterms:created>
  <dcterms:modified xsi:type="dcterms:W3CDTF">2026-09-08T21:44:12Z</dcterms:modified>
</cp:coreProperties>
</file>